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4075047020bf23/Desktop/Campus-Cafe-Sales-Analysis/"/>
    </mc:Choice>
  </mc:AlternateContent>
  <xr:revisionPtr revIDLastSave="540" documentId="8_{D015EEA0-C036-4D00-8631-ED223A9AC3D0}" xr6:coauthVersionLast="47" xr6:coauthVersionMax="47" xr10:uidLastSave="{00E419D1-4C84-4A2F-9A54-49C06035056A}"/>
  <bookViews>
    <workbookView xWindow="-108" yWindow="-108" windowWidth="23256" windowHeight="12456" activeTab="2" xr2:uid="{F128F6DF-4DCC-4BAC-AEB4-D2B8E648381D}"/>
  </bookViews>
  <sheets>
    <sheet name="Detail1" sheetId="5" r:id="rId1"/>
    <sheet name="Sheet3" sheetId="3" r:id="rId2"/>
    <sheet name="DASHBOARD" sheetId="4" r:id="rId3"/>
    <sheet name="DATA" sheetId="1" r:id="rId4"/>
    <sheet name="ANALYSIS" sheetId="2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4" l="1"/>
  <c r="X5" i="4"/>
  <c r="B3" i="2"/>
  <c r="B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</calcChain>
</file>

<file path=xl/sharedStrings.xml><?xml version="1.0" encoding="utf-8"?>
<sst xmlns="http://schemas.openxmlformats.org/spreadsheetml/2006/main" count="702" uniqueCount="51">
  <si>
    <t>Date</t>
  </si>
  <si>
    <t>Product</t>
  </si>
  <si>
    <t>Category</t>
  </si>
  <si>
    <t>Quantity</t>
  </si>
  <si>
    <t>Selling Price</t>
  </si>
  <si>
    <t>Unit Cost</t>
  </si>
  <si>
    <t>Payment Method</t>
  </si>
  <si>
    <t>Cold Coffee</t>
  </si>
  <si>
    <t>Beverage</t>
  </si>
  <si>
    <t>UPI</t>
  </si>
  <si>
    <t>Veg Sandwich</t>
  </si>
  <si>
    <t>Food</t>
  </si>
  <si>
    <t>Cash</t>
  </si>
  <si>
    <t>Masala Maggi</t>
  </si>
  <si>
    <t>Lemonade</t>
  </si>
  <si>
    <t>Samosa</t>
  </si>
  <si>
    <t>Snack</t>
  </si>
  <si>
    <t>Veg Burger</t>
  </si>
  <si>
    <t>French Fries</t>
  </si>
  <si>
    <t>Iced Tea</t>
  </si>
  <si>
    <t>Veg Puff</t>
  </si>
  <si>
    <t>Pasta</t>
  </si>
  <si>
    <t>Cookies</t>
  </si>
  <si>
    <t>Revenue</t>
  </si>
  <si>
    <t>Profit</t>
  </si>
  <si>
    <t>Business Question</t>
  </si>
  <si>
    <t>Answer</t>
  </si>
  <si>
    <t>What is the total revenue?</t>
  </si>
  <si>
    <t>What is the total profit?</t>
  </si>
  <si>
    <t>Which product sells the most units?</t>
  </si>
  <si>
    <t>Which product generates the most revenue?</t>
  </si>
  <si>
    <t>Which product generates the most profit?</t>
  </si>
  <si>
    <t>Which category generates the most revenue?</t>
  </si>
  <si>
    <t>Which payment method is most commonly used?</t>
  </si>
  <si>
    <t>Which date has the highest sales?</t>
  </si>
  <si>
    <t>Row Labels</t>
  </si>
  <si>
    <t>(blank)</t>
  </si>
  <si>
    <t>Grand Total</t>
  </si>
  <si>
    <t>Sum of Quantity</t>
  </si>
  <si>
    <t>Sum of Revenue</t>
  </si>
  <si>
    <t>Sum of Profit</t>
  </si>
  <si>
    <t>Beverages</t>
  </si>
  <si>
    <t>Count of Payment Method</t>
  </si>
  <si>
    <t xml:space="preserve"> </t>
  </si>
  <si>
    <t>CAMPUS CAFÉ SALES DASHBOARD</t>
  </si>
  <si>
    <t>TOTAL REVENUE</t>
  </si>
  <si>
    <t>Details for Sum of Revenue</t>
  </si>
  <si>
    <t>TOTAL PROFIT</t>
  </si>
  <si>
    <t>TOTAL UNITS SOLD</t>
  </si>
  <si>
    <t>l</t>
  </si>
  <si>
    <t>TOTAL NUMBERS OF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</si>
</sst>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8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48"/>
      <color theme="1"/>
      <name val="Britannic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  <xf numFmtId="164" fontId="6" fillId="2" borderId="2" xfId="0" applyNumberFormat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43" fontId="6" fillId="3" borderId="2" xfId="1" applyFont="1" applyFill="1" applyBorder="1" applyAlignment="1">
      <alignment horizontal="center" vertical="center"/>
    </xf>
    <xf numFmtId="0" fontId="7" fillId="0" borderId="0" xfId="0" applyFont="1"/>
  </cellXfs>
  <cellStyles count="2">
    <cellStyle name="Comma" xfId="1" builtinId="3"/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[cafe_sales_data.xlsx]Sheet3!PivotTable6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949471966132153E-2"/>
          <c:y val="0.20020663406190797"/>
          <c:w val="0.88303774097203369"/>
          <c:h val="0.73089400009209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Cold Coffee</c:v>
                </c:pt>
                <c:pt idx="1">
                  <c:v>Cookies</c:v>
                </c:pt>
                <c:pt idx="2">
                  <c:v>French Fries</c:v>
                </c:pt>
                <c:pt idx="3">
                  <c:v>Iced Tea</c:v>
                </c:pt>
                <c:pt idx="4">
                  <c:v>Lemonade</c:v>
                </c:pt>
                <c:pt idx="5">
                  <c:v>Masala Maggi</c:v>
                </c:pt>
                <c:pt idx="6">
                  <c:v>Pasta</c:v>
                </c:pt>
                <c:pt idx="7">
                  <c:v>Samosa</c:v>
                </c:pt>
                <c:pt idx="8">
                  <c:v>Veg Burger</c:v>
                </c:pt>
                <c:pt idx="9">
                  <c:v>Veg Puff</c:v>
                </c:pt>
                <c:pt idx="10">
                  <c:v>Veg Sandwich</c:v>
                </c:pt>
                <c:pt idx="11">
                  <c:v>(blank)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2995</c:v>
                </c:pt>
                <c:pt idx="1">
                  <c:v>750</c:v>
                </c:pt>
                <c:pt idx="2">
                  <c:v>1645</c:v>
                </c:pt>
                <c:pt idx="3">
                  <c:v>1350</c:v>
                </c:pt>
                <c:pt idx="4">
                  <c:v>2700</c:v>
                </c:pt>
                <c:pt idx="5">
                  <c:v>1540</c:v>
                </c:pt>
                <c:pt idx="6">
                  <c:v>1215</c:v>
                </c:pt>
                <c:pt idx="7">
                  <c:v>1612</c:v>
                </c:pt>
                <c:pt idx="8">
                  <c:v>1160</c:v>
                </c:pt>
                <c:pt idx="9">
                  <c:v>1140</c:v>
                </c:pt>
                <c:pt idx="10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0-44B2-9A70-DF312A3B6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813855"/>
        <c:axId val="1378678223"/>
      </c:barChart>
      <c:catAx>
        <c:axId val="69781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78223"/>
        <c:crosses val="autoZero"/>
        <c:auto val="1"/>
        <c:lblAlgn val="ctr"/>
        <c:lblOffset val="100"/>
        <c:noMultiLvlLbl val="0"/>
      </c:catAx>
      <c:valAx>
        <c:axId val="137867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1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[cafe_sales_data.xlsx]DATA!PivotTable5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414590497832102E-2"/>
          <c:y val="4.2866188645202905E-2"/>
          <c:w val="0.90755514804346948"/>
          <c:h val="0.87559339960362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DATA!$P$3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DATA!$O$4:$O$16</c:f>
              <c:strCache>
                <c:ptCount val="12"/>
                <c:pt idx="0">
                  <c:v>Cold Coffee</c:v>
                </c:pt>
                <c:pt idx="1">
                  <c:v>Cookies</c:v>
                </c:pt>
                <c:pt idx="2">
                  <c:v>French Fries</c:v>
                </c:pt>
                <c:pt idx="3">
                  <c:v>Iced Tea</c:v>
                </c:pt>
                <c:pt idx="4">
                  <c:v>Lemonade</c:v>
                </c:pt>
                <c:pt idx="5">
                  <c:v>Masala Maggi</c:v>
                </c:pt>
                <c:pt idx="6">
                  <c:v>Pasta</c:v>
                </c:pt>
                <c:pt idx="7">
                  <c:v>Samosa</c:v>
                </c:pt>
                <c:pt idx="8">
                  <c:v>Veg Burger</c:v>
                </c:pt>
                <c:pt idx="9">
                  <c:v>Veg Puff</c:v>
                </c:pt>
                <c:pt idx="10">
                  <c:v>Veg Sandwich</c:v>
                </c:pt>
                <c:pt idx="11">
                  <c:v>(blank)</c:v>
                </c:pt>
              </c:strCache>
            </c:strRef>
          </c:cat>
          <c:val>
            <c:numRef>
              <c:f>DATA!$P$4:$P$16</c:f>
              <c:numCache>
                <c:formatCode>General</c:formatCode>
                <c:ptCount val="12"/>
                <c:pt idx="0">
                  <c:v>6820</c:v>
                </c:pt>
                <c:pt idx="1">
                  <c:v>1250</c:v>
                </c:pt>
                <c:pt idx="2">
                  <c:v>3290</c:v>
                </c:pt>
                <c:pt idx="3">
                  <c:v>2250</c:v>
                </c:pt>
                <c:pt idx="4">
                  <c:v>4500</c:v>
                </c:pt>
                <c:pt idx="5">
                  <c:v>3300</c:v>
                </c:pt>
                <c:pt idx="6">
                  <c:v>2700</c:v>
                </c:pt>
                <c:pt idx="7">
                  <c:v>3100</c:v>
                </c:pt>
                <c:pt idx="8">
                  <c:v>2610</c:v>
                </c:pt>
                <c:pt idx="9">
                  <c:v>2280</c:v>
                </c:pt>
                <c:pt idx="10">
                  <c:v>3220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C-4C43-B8D1-49D72DFC8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16991103"/>
        <c:axId val="1378721903"/>
      </c:barChart>
      <c:catAx>
        <c:axId val="131699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721903"/>
        <c:crosses val="autoZero"/>
        <c:auto val="1"/>
        <c:lblAlgn val="ctr"/>
        <c:lblOffset val="100"/>
        <c:noMultiLvlLbl val="0"/>
      </c:catAx>
      <c:valAx>
        <c:axId val="137872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9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[cafe_sales_data.xlsx]Sheet3!PivotTable8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48598880783466"/>
          <c:y val="0.11758727601833271"/>
          <c:w val="0.83073958220975808"/>
          <c:h val="0.80572531739317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Sheet3!$D$4:$D$8</c:f>
              <c:strCache>
                <c:ptCount val="4"/>
                <c:pt idx="0">
                  <c:v>Beverage</c:v>
                </c:pt>
                <c:pt idx="1">
                  <c:v>Food</c:v>
                </c:pt>
                <c:pt idx="2">
                  <c:v>Snack</c:v>
                </c:pt>
                <c:pt idx="3">
                  <c:v>(blank)</c:v>
                </c:pt>
              </c:strCache>
            </c:strRef>
          </c:cat>
          <c:val>
            <c:numRef>
              <c:f>Sheet3!$E$4:$E$8</c:f>
              <c:numCache>
                <c:formatCode>General</c:formatCode>
                <c:ptCount val="4"/>
                <c:pt idx="0">
                  <c:v>13570</c:v>
                </c:pt>
                <c:pt idx="1">
                  <c:v>11830</c:v>
                </c:pt>
                <c:pt idx="2">
                  <c:v>9920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9-4AC6-87E7-94E380791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501501807"/>
        <c:axId val="1378750703"/>
      </c:barChart>
      <c:catAx>
        <c:axId val="150150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750703"/>
        <c:crosses val="autoZero"/>
        <c:auto val="1"/>
        <c:lblAlgn val="ctr"/>
        <c:lblOffset val="100"/>
        <c:noMultiLvlLbl val="0"/>
      </c:catAx>
      <c:valAx>
        <c:axId val="1378750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0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[cafe_sales_data.xlsx]Sheet3!PivotTable9</c:name>
    <c:fmtId val="19"/>
  </c:pivotSource>
  <c:chart>
    <c:title>
      <c:layout>
        <c:manualLayout>
          <c:xMode val="edge"/>
          <c:yMode val="edge"/>
          <c:x val="0.65313102100736353"/>
          <c:y val="5.4809918396971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</c:pivotFmt>
      <c:pivotFmt>
        <c:idx val="24"/>
      </c:pivotFmt>
      <c:pivotFmt>
        <c:idx val="25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27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28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5972623387719238E-3"/>
          <c:y val="0"/>
          <c:w val="0.99840278869276211"/>
          <c:h val="1"/>
        </c:manualLayout>
      </c:layout>
      <c:pie3DChart>
        <c:varyColors val="1"/>
        <c:ser>
          <c:idx val="0"/>
          <c:order val="0"/>
          <c:tx>
            <c:strRef>
              <c:f>Sheet3!$E$11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104-42CF-BD26-091E3D4CDC68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104-42CF-BD26-091E3D4CDC68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104-42CF-BD26-091E3D4CDC68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Sheet3!$D$12:$D$15</c:f>
              <c:strCache>
                <c:ptCount val="3"/>
                <c:pt idx="0">
                  <c:v>Cash</c:v>
                </c:pt>
                <c:pt idx="1">
                  <c:v>UPI</c:v>
                </c:pt>
                <c:pt idx="2">
                  <c:v>(blank)</c:v>
                </c:pt>
              </c:strCache>
            </c:strRef>
          </c:cat>
          <c:val>
            <c:numRef>
              <c:f>Sheet3!$E$12:$E$15</c:f>
              <c:numCache>
                <c:formatCode>General</c:formatCode>
                <c:ptCount val="3"/>
                <c:pt idx="0">
                  <c:v>33</c:v>
                </c:pt>
                <c:pt idx="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04-42CF-BD26-091E3D4CDC6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795866</xdr:colOff>
      <xdr:row>5</xdr:row>
      <xdr:rowOff>67129</xdr:rowOff>
    </xdr:from>
    <xdr:to>
      <xdr:col>25</xdr:col>
      <xdr:colOff>0</xdr:colOff>
      <xdr:row>43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E37B42-90FB-DF84-0C2B-D9AB67B34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1016001</xdr:colOff>
      <xdr:row>45</xdr:row>
      <xdr:rowOff>50800</xdr:rowOff>
    </xdr:from>
    <xdr:to>
      <xdr:col>25</xdr:col>
      <xdr:colOff>58616</xdr:colOff>
      <xdr:row>72</xdr:row>
      <xdr:rowOff>152400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ACC85E0-3C8B-53FA-69F5-8B786A718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496185</xdr:colOff>
      <xdr:row>6</xdr:row>
      <xdr:rowOff>145874</xdr:rowOff>
    </xdr:from>
    <xdr:to>
      <xdr:col>22</xdr:col>
      <xdr:colOff>549348</xdr:colOff>
      <xdr:row>38</xdr:row>
      <xdr:rowOff>141768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4D10A95D-3EC5-4FAE-9310-718E17D73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338666</xdr:colOff>
      <xdr:row>40</xdr:row>
      <xdr:rowOff>119063</xdr:rowOff>
    </xdr:from>
    <xdr:to>
      <xdr:col>22</xdr:col>
      <xdr:colOff>711200</xdr:colOff>
      <xdr:row>73</xdr:row>
      <xdr:rowOff>23813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EFA96921-F3D5-4291-9A47-B2D3A086A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Kshatriya" refreshedDate="46295.9117744213" createdVersion="8" refreshedVersion="8" minRefreshableVersion="3" recordCount="100" xr:uid="{9915585D-BF21-49C9-81B7-E039CCADF5D6}">
  <cacheSource type="worksheet">
    <worksheetSource ref="A1:I101" sheet="DATA"/>
  </cacheSource>
  <cacheFields count="9">
    <cacheField name="Date" numFmtId="0">
      <sharedItems containsNonDate="0" containsDate="1" containsString="0" containsBlank="1" minDate="2026-09-01T00:00:00" maxDate="2026-09-21T00:00:00" count="21">
        <m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</sharedItems>
    </cacheField>
    <cacheField name="Product" numFmtId="0">
      <sharedItems containsBlank="1" count="12">
        <m/>
        <s v="Cold Coffee"/>
        <s v="Veg Sandwich"/>
        <s v="Masala Maggi"/>
        <s v="Lemonade"/>
        <s v="Samosa"/>
        <s v="Veg Burger"/>
        <s v="French Fries"/>
        <s v="Iced Tea"/>
        <s v="Veg Puff"/>
        <s v="Pasta"/>
        <s v="Cookies"/>
      </sharedItems>
    </cacheField>
    <cacheField name="Category" numFmtId="0">
      <sharedItems containsBlank="1" count="4">
        <m/>
        <s v="Beverage"/>
        <s v="Food"/>
        <s v="Snack"/>
      </sharedItems>
    </cacheField>
    <cacheField name="Quantity" numFmtId="0">
      <sharedItems containsString="0" containsBlank="1" containsNumber="1" containsInteger="1" minValue="2" maxValue="20"/>
    </cacheField>
    <cacheField name="Selling Price" numFmtId="0">
      <sharedItems containsString="0" containsBlank="1" containsNumber="1" containsInteger="1" minValue="25" maxValue="100"/>
    </cacheField>
    <cacheField name="Unit Cost" numFmtId="0">
      <sharedItems containsString="0" containsBlank="1" containsNumber="1" containsInteger="1" minValue="10" maxValue="55"/>
    </cacheField>
    <cacheField name="Payment Method" numFmtId="0">
      <sharedItems containsBlank="1" count="3">
        <m/>
        <s v="UPI"/>
        <s v="Cash"/>
      </sharedItems>
    </cacheField>
    <cacheField name="Revenue" numFmtId="0">
      <sharedItems containsString="0" containsBlank="1" containsNumber="1" containsInteger="1" minValue="125" maxValue="880"/>
    </cacheField>
    <cacheField name="Profit" numFmtId="0">
      <sharedItems containsString="0" containsBlank="1" containsNumber="1" containsInteger="1" minValue="60" maxValue="3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m/>
    <m/>
    <m/>
    <x v="0"/>
    <m/>
    <m/>
  </r>
  <r>
    <x v="1"/>
    <x v="1"/>
    <x v="1"/>
    <n v="2"/>
    <n v="90"/>
    <n v="45"/>
    <x v="1"/>
    <n v="180"/>
    <n v="90"/>
  </r>
  <r>
    <x v="1"/>
    <x v="2"/>
    <x v="2"/>
    <n v="2"/>
    <n v="70"/>
    <n v="40"/>
    <x v="2"/>
    <n v="140"/>
    <n v="60"/>
  </r>
  <r>
    <x v="1"/>
    <x v="3"/>
    <x v="2"/>
    <n v="4"/>
    <n v="60"/>
    <n v="32"/>
    <x v="1"/>
    <n v="240"/>
    <n v="112"/>
  </r>
  <r>
    <x v="1"/>
    <x v="4"/>
    <x v="1"/>
    <n v="5"/>
    <n v="50"/>
    <n v="20"/>
    <x v="1"/>
    <n v="250"/>
    <n v="150"/>
  </r>
  <r>
    <x v="1"/>
    <x v="5"/>
    <x v="3"/>
    <n v="8"/>
    <n v="25"/>
    <n v="12"/>
    <x v="2"/>
    <n v="200"/>
    <n v="104"/>
  </r>
  <r>
    <x v="2"/>
    <x v="1"/>
    <x v="1"/>
    <n v="4"/>
    <n v="80"/>
    <n v="45"/>
    <x v="1"/>
    <n v="320"/>
    <n v="140"/>
  </r>
  <r>
    <x v="2"/>
    <x v="6"/>
    <x v="2"/>
    <n v="2"/>
    <n v="90"/>
    <n v="50"/>
    <x v="1"/>
    <n v="180"/>
    <n v="80"/>
  </r>
  <r>
    <x v="2"/>
    <x v="7"/>
    <x v="3"/>
    <n v="3"/>
    <n v="70"/>
    <n v="35"/>
    <x v="2"/>
    <n v="210"/>
    <n v="105"/>
  </r>
  <r>
    <x v="2"/>
    <x v="8"/>
    <x v="1"/>
    <n v="5"/>
    <n v="45"/>
    <n v="18"/>
    <x v="1"/>
    <n v="225"/>
    <n v="135"/>
  </r>
  <r>
    <x v="2"/>
    <x v="9"/>
    <x v="3"/>
    <n v="6"/>
    <n v="30"/>
    <n v="15"/>
    <x v="2"/>
    <n v="180"/>
    <n v="90"/>
  </r>
  <r>
    <x v="3"/>
    <x v="3"/>
    <x v="2"/>
    <n v="3"/>
    <n v="60"/>
    <n v="32"/>
    <x v="1"/>
    <n v="180"/>
    <n v="84"/>
  </r>
  <r>
    <x v="3"/>
    <x v="1"/>
    <x v="1"/>
    <n v="2"/>
    <n v="80"/>
    <n v="45"/>
    <x v="2"/>
    <n v="160"/>
    <n v="70"/>
  </r>
  <r>
    <x v="3"/>
    <x v="10"/>
    <x v="2"/>
    <n v="2"/>
    <n v="100"/>
    <n v="55"/>
    <x v="1"/>
    <n v="200"/>
    <n v="90"/>
  </r>
  <r>
    <x v="3"/>
    <x v="4"/>
    <x v="1"/>
    <n v="7"/>
    <n v="50"/>
    <n v="20"/>
    <x v="1"/>
    <n v="350"/>
    <n v="210"/>
  </r>
  <r>
    <x v="3"/>
    <x v="11"/>
    <x v="3"/>
    <n v="5"/>
    <n v="25"/>
    <n v="10"/>
    <x v="2"/>
    <n v="125"/>
    <n v="75"/>
  </r>
  <r>
    <x v="4"/>
    <x v="2"/>
    <x v="2"/>
    <n v="4"/>
    <n v="70"/>
    <n v="40"/>
    <x v="1"/>
    <n v="280"/>
    <n v="120"/>
  </r>
  <r>
    <x v="4"/>
    <x v="1"/>
    <x v="1"/>
    <n v="5"/>
    <n v="80"/>
    <n v="45"/>
    <x v="1"/>
    <n v="400"/>
    <n v="175"/>
  </r>
  <r>
    <x v="4"/>
    <x v="5"/>
    <x v="3"/>
    <n v="10"/>
    <n v="25"/>
    <n v="12"/>
    <x v="2"/>
    <n v="250"/>
    <n v="130"/>
  </r>
  <r>
    <x v="4"/>
    <x v="6"/>
    <x v="2"/>
    <n v="3"/>
    <n v="90"/>
    <n v="50"/>
    <x v="1"/>
    <n v="270"/>
    <n v="120"/>
  </r>
  <r>
    <x v="4"/>
    <x v="8"/>
    <x v="1"/>
    <n v="4"/>
    <n v="45"/>
    <n v="18"/>
    <x v="2"/>
    <n v="180"/>
    <n v="108"/>
  </r>
  <r>
    <x v="5"/>
    <x v="7"/>
    <x v="3"/>
    <n v="4"/>
    <n v="70"/>
    <n v="35"/>
    <x v="1"/>
    <n v="280"/>
    <n v="140"/>
  </r>
  <r>
    <x v="5"/>
    <x v="3"/>
    <x v="2"/>
    <n v="5"/>
    <n v="60"/>
    <n v="32"/>
    <x v="1"/>
    <n v="300"/>
    <n v="140"/>
  </r>
  <r>
    <x v="5"/>
    <x v="4"/>
    <x v="1"/>
    <n v="6"/>
    <n v="50"/>
    <n v="20"/>
    <x v="2"/>
    <n v="300"/>
    <n v="180"/>
  </r>
  <r>
    <x v="5"/>
    <x v="9"/>
    <x v="3"/>
    <n v="7"/>
    <n v="30"/>
    <n v="15"/>
    <x v="1"/>
    <n v="210"/>
    <n v="105"/>
  </r>
  <r>
    <x v="5"/>
    <x v="10"/>
    <x v="2"/>
    <n v="2"/>
    <n v="100"/>
    <n v="55"/>
    <x v="1"/>
    <n v="200"/>
    <n v="90"/>
  </r>
  <r>
    <x v="6"/>
    <x v="1"/>
    <x v="1"/>
    <n v="6"/>
    <n v="80"/>
    <n v="45"/>
    <x v="1"/>
    <n v="480"/>
    <n v="210"/>
  </r>
  <r>
    <x v="6"/>
    <x v="2"/>
    <x v="2"/>
    <n v="3"/>
    <n v="70"/>
    <n v="40"/>
    <x v="2"/>
    <n v="210"/>
    <n v="90"/>
  </r>
  <r>
    <x v="6"/>
    <x v="5"/>
    <x v="3"/>
    <n v="12"/>
    <n v="25"/>
    <n v="12"/>
    <x v="1"/>
    <n v="300"/>
    <n v="156"/>
  </r>
  <r>
    <x v="6"/>
    <x v="8"/>
    <x v="1"/>
    <n v="5"/>
    <n v="45"/>
    <n v="18"/>
    <x v="1"/>
    <n v="225"/>
    <n v="135"/>
  </r>
  <r>
    <x v="6"/>
    <x v="11"/>
    <x v="3"/>
    <n v="8"/>
    <n v="25"/>
    <n v="10"/>
    <x v="2"/>
    <n v="200"/>
    <n v="120"/>
  </r>
  <r>
    <x v="7"/>
    <x v="6"/>
    <x v="2"/>
    <n v="4"/>
    <n v="90"/>
    <n v="50"/>
    <x v="1"/>
    <n v="360"/>
    <n v="160"/>
  </r>
  <r>
    <x v="7"/>
    <x v="3"/>
    <x v="2"/>
    <n v="6"/>
    <n v="60"/>
    <n v="32"/>
    <x v="1"/>
    <n v="360"/>
    <n v="168"/>
  </r>
  <r>
    <x v="7"/>
    <x v="4"/>
    <x v="1"/>
    <n v="8"/>
    <n v="50"/>
    <n v="20"/>
    <x v="2"/>
    <n v="400"/>
    <n v="240"/>
  </r>
  <r>
    <x v="7"/>
    <x v="7"/>
    <x v="3"/>
    <n v="5"/>
    <n v="70"/>
    <n v="35"/>
    <x v="1"/>
    <n v="350"/>
    <n v="175"/>
  </r>
  <r>
    <x v="7"/>
    <x v="1"/>
    <x v="1"/>
    <n v="3"/>
    <n v="80"/>
    <n v="45"/>
    <x v="1"/>
    <n v="240"/>
    <n v="105"/>
  </r>
  <r>
    <x v="8"/>
    <x v="9"/>
    <x v="3"/>
    <n v="9"/>
    <n v="30"/>
    <n v="15"/>
    <x v="2"/>
    <n v="270"/>
    <n v="135"/>
  </r>
  <r>
    <x v="8"/>
    <x v="10"/>
    <x v="2"/>
    <n v="3"/>
    <n v="100"/>
    <n v="55"/>
    <x v="1"/>
    <n v="300"/>
    <n v="135"/>
  </r>
  <r>
    <x v="8"/>
    <x v="2"/>
    <x v="2"/>
    <n v="5"/>
    <n v="70"/>
    <n v="40"/>
    <x v="1"/>
    <n v="350"/>
    <n v="150"/>
  </r>
  <r>
    <x v="8"/>
    <x v="8"/>
    <x v="1"/>
    <n v="6"/>
    <n v="45"/>
    <n v="18"/>
    <x v="2"/>
    <n v="270"/>
    <n v="162"/>
  </r>
  <r>
    <x v="8"/>
    <x v="5"/>
    <x v="3"/>
    <n v="11"/>
    <n v="25"/>
    <n v="12"/>
    <x v="1"/>
    <n v="275"/>
    <n v="143"/>
  </r>
  <r>
    <x v="9"/>
    <x v="1"/>
    <x v="1"/>
    <n v="7"/>
    <n v="80"/>
    <n v="45"/>
    <x v="1"/>
    <n v="560"/>
    <n v="245"/>
  </r>
  <r>
    <x v="9"/>
    <x v="3"/>
    <x v="2"/>
    <n v="4"/>
    <n v="60"/>
    <n v="32"/>
    <x v="2"/>
    <n v="240"/>
    <n v="112"/>
  </r>
  <r>
    <x v="9"/>
    <x v="6"/>
    <x v="2"/>
    <n v="3"/>
    <n v="90"/>
    <n v="50"/>
    <x v="1"/>
    <n v="270"/>
    <n v="120"/>
  </r>
  <r>
    <x v="9"/>
    <x v="4"/>
    <x v="1"/>
    <n v="9"/>
    <n v="50"/>
    <n v="20"/>
    <x v="1"/>
    <n v="450"/>
    <n v="270"/>
  </r>
  <r>
    <x v="9"/>
    <x v="11"/>
    <x v="3"/>
    <n v="6"/>
    <n v="25"/>
    <n v="10"/>
    <x v="2"/>
    <n v="150"/>
    <n v="90"/>
  </r>
  <r>
    <x v="10"/>
    <x v="7"/>
    <x v="3"/>
    <n v="6"/>
    <n v="70"/>
    <n v="35"/>
    <x v="1"/>
    <n v="420"/>
    <n v="210"/>
  </r>
  <r>
    <x v="10"/>
    <x v="2"/>
    <x v="2"/>
    <n v="4"/>
    <n v="70"/>
    <n v="40"/>
    <x v="1"/>
    <n v="280"/>
    <n v="120"/>
  </r>
  <r>
    <x v="10"/>
    <x v="1"/>
    <x v="1"/>
    <n v="5"/>
    <n v="80"/>
    <n v="45"/>
    <x v="2"/>
    <n v="400"/>
    <n v="175"/>
  </r>
  <r>
    <x v="10"/>
    <x v="9"/>
    <x v="3"/>
    <n v="8"/>
    <n v="30"/>
    <n v="15"/>
    <x v="1"/>
    <n v="240"/>
    <n v="120"/>
  </r>
  <r>
    <x v="10"/>
    <x v="10"/>
    <x v="2"/>
    <n v="3"/>
    <n v="100"/>
    <n v="55"/>
    <x v="1"/>
    <n v="300"/>
    <n v="135"/>
  </r>
  <r>
    <x v="11"/>
    <x v="3"/>
    <x v="2"/>
    <n v="7"/>
    <n v="60"/>
    <n v="32"/>
    <x v="1"/>
    <n v="420"/>
    <n v="196"/>
  </r>
  <r>
    <x v="11"/>
    <x v="4"/>
    <x v="1"/>
    <n v="10"/>
    <n v="50"/>
    <n v="20"/>
    <x v="2"/>
    <n v="500"/>
    <n v="300"/>
  </r>
  <r>
    <x v="11"/>
    <x v="5"/>
    <x v="3"/>
    <n v="14"/>
    <n v="25"/>
    <n v="12"/>
    <x v="1"/>
    <n v="350"/>
    <n v="182"/>
  </r>
  <r>
    <x v="11"/>
    <x v="8"/>
    <x v="1"/>
    <n v="6"/>
    <n v="45"/>
    <n v="18"/>
    <x v="1"/>
    <n v="270"/>
    <n v="162"/>
  </r>
  <r>
    <x v="11"/>
    <x v="6"/>
    <x v="2"/>
    <n v="4"/>
    <n v="90"/>
    <n v="50"/>
    <x v="2"/>
    <n v="360"/>
    <n v="160"/>
  </r>
  <r>
    <x v="12"/>
    <x v="1"/>
    <x v="1"/>
    <n v="8"/>
    <n v="80"/>
    <n v="45"/>
    <x v="1"/>
    <n v="640"/>
    <n v="280"/>
  </r>
  <r>
    <x v="12"/>
    <x v="2"/>
    <x v="2"/>
    <n v="5"/>
    <n v="70"/>
    <n v="40"/>
    <x v="1"/>
    <n v="350"/>
    <n v="150"/>
  </r>
  <r>
    <x v="12"/>
    <x v="7"/>
    <x v="3"/>
    <n v="7"/>
    <n v="70"/>
    <n v="35"/>
    <x v="2"/>
    <n v="490"/>
    <n v="245"/>
  </r>
  <r>
    <x v="12"/>
    <x v="9"/>
    <x v="3"/>
    <n v="10"/>
    <n v="30"/>
    <n v="15"/>
    <x v="1"/>
    <n v="300"/>
    <n v="150"/>
  </r>
  <r>
    <x v="12"/>
    <x v="10"/>
    <x v="2"/>
    <n v="4"/>
    <n v="100"/>
    <n v="55"/>
    <x v="1"/>
    <n v="400"/>
    <n v="180"/>
  </r>
  <r>
    <x v="13"/>
    <x v="4"/>
    <x v="1"/>
    <n v="11"/>
    <n v="50"/>
    <n v="20"/>
    <x v="1"/>
    <n v="550"/>
    <n v="330"/>
  </r>
  <r>
    <x v="13"/>
    <x v="3"/>
    <x v="2"/>
    <n v="5"/>
    <n v="60"/>
    <n v="32"/>
    <x v="2"/>
    <n v="300"/>
    <n v="140"/>
  </r>
  <r>
    <x v="13"/>
    <x v="1"/>
    <x v="1"/>
    <n v="6"/>
    <n v="80"/>
    <n v="45"/>
    <x v="1"/>
    <n v="480"/>
    <n v="210"/>
  </r>
  <r>
    <x v="13"/>
    <x v="11"/>
    <x v="3"/>
    <n v="9"/>
    <n v="25"/>
    <n v="10"/>
    <x v="2"/>
    <n v="225"/>
    <n v="135"/>
  </r>
  <r>
    <x v="13"/>
    <x v="6"/>
    <x v="2"/>
    <n v="3"/>
    <n v="90"/>
    <n v="50"/>
    <x v="1"/>
    <n v="270"/>
    <n v="120"/>
  </r>
  <r>
    <x v="14"/>
    <x v="5"/>
    <x v="3"/>
    <n v="16"/>
    <n v="25"/>
    <n v="12"/>
    <x v="1"/>
    <n v="400"/>
    <n v="208"/>
  </r>
  <r>
    <x v="14"/>
    <x v="8"/>
    <x v="1"/>
    <n v="8"/>
    <n v="45"/>
    <n v="18"/>
    <x v="2"/>
    <n v="360"/>
    <n v="216"/>
  </r>
  <r>
    <x v="14"/>
    <x v="2"/>
    <x v="2"/>
    <n v="6"/>
    <n v="70"/>
    <n v="40"/>
    <x v="1"/>
    <n v="420"/>
    <n v="180"/>
  </r>
  <r>
    <x v="14"/>
    <x v="7"/>
    <x v="3"/>
    <n v="5"/>
    <n v="70"/>
    <n v="35"/>
    <x v="1"/>
    <n v="350"/>
    <n v="175"/>
  </r>
  <r>
    <x v="14"/>
    <x v="1"/>
    <x v="1"/>
    <n v="7"/>
    <n v="80"/>
    <n v="45"/>
    <x v="2"/>
    <n v="560"/>
    <n v="245"/>
  </r>
  <r>
    <x v="15"/>
    <x v="9"/>
    <x v="3"/>
    <n v="12"/>
    <n v="30"/>
    <n v="15"/>
    <x v="1"/>
    <n v="360"/>
    <n v="180"/>
  </r>
  <r>
    <x v="15"/>
    <x v="10"/>
    <x v="2"/>
    <n v="4"/>
    <n v="100"/>
    <n v="55"/>
    <x v="1"/>
    <n v="400"/>
    <n v="180"/>
  </r>
  <r>
    <x v="15"/>
    <x v="4"/>
    <x v="1"/>
    <n v="9"/>
    <n v="50"/>
    <n v="20"/>
    <x v="2"/>
    <n v="450"/>
    <n v="270"/>
  </r>
  <r>
    <x v="15"/>
    <x v="3"/>
    <x v="2"/>
    <n v="6"/>
    <n v="60"/>
    <n v="32"/>
    <x v="1"/>
    <n v="360"/>
    <n v="168"/>
  </r>
  <r>
    <x v="15"/>
    <x v="11"/>
    <x v="3"/>
    <n v="10"/>
    <n v="25"/>
    <n v="10"/>
    <x v="1"/>
    <n v="250"/>
    <n v="150"/>
  </r>
  <r>
    <x v="16"/>
    <x v="1"/>
    <x v="1"/>
    <n v="9"/>
    <n v="80"/>
    <n v="45"/>
    <x v="1"/>
    <n v="720"/>
    <n v="315"/>
  </r>
  <r>
    <x v="16"/>
    <x v="6"/>
    <x v="2"/>
    <n v="5"/>
    <n v="90"/>
    <n v="50"/>
    <x v="2"/>
    <n v="450"/>
    <n v="200"/>
  </r>
  <r>
    <x v="16"/>
    <x v="5"/>
    <x v="3"/>
    <n v="15"/>
    <n v="25"/>
    <n v="12"/>
    <x v="1"/>
    <n v="375"/>
    <n v="195"/>
  </r>
  <r>
    <x v="16"/>
    <x v="8"/>
    <x v="1"/>
    <n v="7"/>
    <n v="45"/>
    <n v="18"/>
    <x v="1"/>
    <n v="315"/>
    <n v="189"/>
  </r>
  <r>
    <x v="16"/>
    <x v="2"/>
    <x v="2"/>
    <n v="4"/>
    <n v="70"/>
    <n v="40"/>
    <x v="2"/>
    <n v="280"/>
    <n v="120"/>
  </r>
  <r>
    <x v="17"/>
    <x v="7"/>
    <x v="3"/>
    <n v="8"/>
    <n v="70"/>
    <n v="35"/>
    <x v="1"/>
    <n v="560"/>
    <n v="280"/>
  </r>
  <r>
    <x v="17"/>
    <x v="4"/>
    <x v="1"/>
    <n v="12"/>
    <n v="50"/>
    <n v="20"/>
    <x v="1"/>
    <n v="600"/>
    <n v="360"/>
  </r>
  <r>
    <x v="17"/>
    <x v="10"/>
    <x v="2"/>
    <n v="5"/>
    <n v="100"/>
    <n v="55"/>
    <x v="2"/>
    <n v="500"/>
    <n v="225"/>
  </r>
  <r>
    <x v="17"/>
    <x v="9"/>
    <x v="3"/>
    <n v="11"/>
    <n v="30"/>
    <n v="15"/>
    <x v="1"/>
    <n v="330"/>
    <n v="165"/>
  </r>
  <r>
    <x v="17"/>
    <x v="3"/>
    <x v="2"/>
    <n v="7"/>
    <n v="60"/>
    <n v="32"/>
    <x v="1"/>
    <n v="420"/>
    <n v="196"/>
  </r>
  <r>
    <x v="18"/>
    <x v="1"/>
    <x v="1"/>
    <n v="10"/>
    <n v="80"/>
    <n v="45"/>
    <x v="2"/>
    <n v="800"/>
    <n v="350"/>
  </r>
  <r>
    <x v="18"/>
    <x v="2"/>
    <x v="2"/>
    <n v="6"/>
    <n v="70"/>
    <n v="40"/>
    <x v="1"/>
    <n v="420"/>
    <n v="180"/>
  </r>
  <r>
    <x v="18"/>
    <x v="5"/>
    <x v="3"/>
    <n v="18"/>
    <n v="25"/>
    <n v="12"/>
    <x v="1"/>
    <n v="450"/>
    <n v="234"/>
  </r>
  <r>
    <x v="18"/>
    <x v="8"/>
    <x v="1"/>
    <n v="9"/>
    <n v="45"/>
    <n v="18"/>
    <x v="2"/>
    <n v="405"/>
    <n v="243"/>
  </r>
  <r>
    <x v="18"/>
    <x v="6"/>
    <x v="2"/>
    <n v="5"/>
    <n v="90"/>
    <n v="50"/>
    <x v="1"/>
    <n v="450"/>
    <n v="200"/>
  </r>
  <r>
    <x v="19"/>
    <x v="4"/>
    <x v="1"/>
    <n v="13"/>
    <n v="50"/>
    <n v="20"/>
    <x v="1"/>
    <n v="650"/>
    <n v="390"/>
  </r>
  <r>
    <x v="19"/>
    <x v="7"/>
    <x v="3"/>
    <n v="9"/>
    <n v="70"/>
    <n v="35"/>
    <x v="2"/>
    <n v="630"/>
    <n v="315"/>
  </r>
  <r>
    <x v="19"/>
    <x v="10"/>
    <x v="2"/>
    <n v="4"/>
    <n v="100"/>
    <n v="55"/>
    <x v="1"/>
    <n v="400"/>
    <n v="180"/>
  </r>
  <r>
    <x v="19"/>
    <x v="9"/>
    <x v="3"/>
    <n v="13"/>
    <n v="30"/>
    <n v="15"/>
    <x v="1"/>
    <n v="390"/>
    <n v="195"/>
  </r>
  <r>
    <x v="19"/>
    <x v="11"/>
    <x v="3"/>
    <n v="12"/>
    <n v="25"/>
    <n v="10"/>
    <x v="2"/>
    <n v="300"/>
    <n v="180"/>
  </r>
  <r>
    <x v="20"/>
    <x v="1"/>
    <x v="1"/>
    <n v="11"/>
    <n v="80"/>
    <n v="45"/>
    <x v="1"/>
    <n v="880"/>
    <n v="385"/>
  </r>
  <r>
    <x v="20"/>
    <x v="3"/>
    <x v="2"/>
    <n v="8"/>
    <n v="60"/>
    <n v="32"/>
    <x v="1"/>
    <n v="480"/>
    <n v="224"/>
  </r>
  <r>
    <x v="20"/>
    <x v="2"/>
    <x v="2"/>
    <n v="7"/>
    <n v="70"/>
    <n v="40"/>
    <x v="2"/>
    <n v="490"/>
    <n v="210"/>
  </r>
  <r>
    <x v="20"/>
    <x v="5"/>
    <x v="3"/>
    <n v="20"/>
    <n v="25"/>
    <n v="12"/>
    <x v="1"/>
    <n v="500"/>
    <n v="2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43042-5388-4082-A638-9CCC00C8D87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D11:E15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 Method" fld="6" subtotal="count" baseField="0" baseItem="0"/>
  </dataFields>
  <chartFormats count="4">
    <chartFormat chart="19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17195-A541-462D-BEBC-EC1D5274358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D3:E8" firstHeaderRow="1" firstDataRow="1" firstDataCol="1"/>
  <pivotFields count="9"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2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77F71-737F-4DB5-BC90-0A989EF8307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9">
    <pivotField showAll="0"/>
    <pivotField axis="axisRow" showAll="0">
      <items count="13">
        <item x="1"/>
        <item x="11"/>
        <item x="7"/>
        <item x="8"/>
        <item x="4"/>
        <item x="3"/>
        <item x="10"/>
        <item x="5"/>
        <item x="6"/>
        <item x="9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8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E5ACC-3664-4B5B-B6D2-96918016FDC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25" firstHeaderRow="1" firstDataRow="1" firstDataCol="1"/>
  <pivotFields count="9">
    <pivotField axis="axisRow" showAll="0">
      <items count="2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34D85-7524-4340-B25D-857E716CF26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O3:P16" firstHeaderRow="1" firstDataRow="1" firstDataCol="1"/>
  <pivotFields count="9">
    <pivotField showAll="0"/>
    <pivotField axis="axisRow" showAll="0">
      <items count="13">
        <item x="1"/>
        <item x="11"/>
        <item x="7"/>
        <item x="8"/>
        <item x="4"/>
        <item x="3"/>
        <item x="10"/>
        <item x="5"/>
        <item x="6"/>
        <item x="9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7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34682-EFC5-48A7-AE4E-FD954DF17FA6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K3" firstHeaderRow="0" firstDataRow="0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4DEC4-CFC9-47D5-8D39-6A1D31DE5D9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9:M32" firstHeaderRow="1" firstDataRow="1" firstDataCol="1"/>
  <pivotFields count="9">
    <pivotField showAll="0"/>
    <pivotField axis="axisRow" showAll="0">
      <items count="13">
        <item x="1"/>
        <item x="11"/>
        <item x="7"/>
        <item x="8"/>
        <item x="4"/>
        <item x="3"/>
        <item x="10"/>
        <item x="5"/>
        <item x="6"/>
        <item x="9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A87021-9E34-495B-9B2A-E09AA4C444C0}" name="Table1" displayName="Table1" ref="A3:I103" totalsRowShown="0">
  <autoFilter ref="A3:I103" xr:uid="{8EA87021-9E34-495B-9B2A-E09AA4C444C0}"/>
  <tableColumns count="9">
    <tableColumn id="1" xr3:uid="{0935B48B-8B1A-4742-95E2-949F72B44DE6}" name="Date" dataDxfId="0"/>
    <tableColumn id="2" xr3:uid="{40345CA0-09D8-4E64-85D7-91CC08472F77}" name="Product"/>
    <tableColumn id="3" xr3:uid="{1217D5DC-5C9A-4AAB-A863-DEC2A47ED44B}" name="Category"/>
    <tableColumn id="4" xr3:uid="{FD15C931-603F-49AC-BCD3-C6BA5EB1077B}" name="Quantity"/>
    <tableColumn id="5" xr3:uid="{3E50D053-50D4-4384-8C66-8E4224B088C1}" name="Selling Price"/>
    <tableColumn id="6" xr3:uid="{621333A2-54A6-4C51-ADC2-46FE5A9F3E57}" name="Unit Cost"/>
    <tableColumn id="7" xr3:uid="{A54E69CF-0DE2-4375-997E-3EADDB19D235}" name="Payment Method"/>
    <tableColumn id="8" xr3:uid="{44A956AA-D038-44B8-936C-7AAB915A6EF7}" name="Revenue"/>
    <tableColumn id="9" xr3:uid="{D752D446-8B6C-41EA-8BE6-D8B21F0DEBC1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3E33-A231-4E05-9DD4-551C729AA0A7}">
  <sheetPr codeName="Sheet1"/>
  <dimension ref="A1:I102"/>
  <sheetViews>
    <sheetView workbookViewId="0">
      <selection activeCell="A4" sqref="A4:I103"/>
    </sheetView>
  </sheetViews>
  <sheetFormatPr defaultRowHeight="14.4"/>
  <cols>
    <col min="1" max="1" width="10.33203125" bestFit="1" customWidth="1"/>
    <col min="2" max="2" width="12.109375" bestFit="1" customWidth="1"/>
    <col min="3" max="3" width="10.5546875" bestFit="1" customWidth="1"/>
    <col min="4" max="4" width="10.33203125" bestFit="1" customWidth="1"/>
    <col min="5" max="5" width="13.5546875" bestFit="1" customWidth="1"/>
    <col min="6" max="6" width="10.77734375" bestFit="1" customWidth="1"/>
    <col min="7" max="7" width="17.21875" bestFit="1" customWidth="1"/>
    <col min="8" max="8" width="10.21875" bestFit="1" customWidth="1"/>
    <col min="9" max="9" width="9" bestFit="1" customWidth="1"/>
  </cols>
  <sheetData>
    <row r="1" spans="1:9">
      <c r="A1" s="10" t="s">
        <v>46</v>
      </c>
    </row>
    <row r="3" spans="1: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23</v>
      </c>
      <c r="I3" t="s">
        <v>24</v>
      </c>
    </row>
    <row r="4" spans="1:9">
      <c r="A4" s="1">
        <v>46266</v>
      </c>
      <c r="B4" t="s">
        <v>7</v>
      </c>
      <c r="C4" t="s">
        <v>8</v>
      </c>
      <c r="D4">
        <v>2</v>
      </c>
      <c r="E4">
        <v>90</v>
      </c>
      <c r="F4">
        <v>45</v>
      </c>
      <c r="G4" t="s">
        <v>9</v>
      </c>
      <c r="H4">
        <v>180</v>
      </c>
      <c r="I4">
        <v>90</v>
      </c>
    </row>
    <row r="5" spans="1:9">
      <c r="A5" s="1">
        <v>46266</v>
      </c>
      <c r="B5" t="s">
        <v>10</v>
      </c>
      <c r="C5" t="s">
        <v>11</v>
      </c>
      <c r="D5">
        <v>2</v>
      </c>
      <c r="E5">
        <v>70</v>
      </c>
      <c r="F5">
        <v>40</v>
      </c>
      <c r="G5" t="s">
        <v>12</v>
      </c>
      <c r="H5">
        <v>140</v>
      </c>
      <c r="I5">
        <v>60</v>
      </c>
    </row>
    <row r="6" spans="1:9">
      <c r="A6" s="1">
        <v>46266</v>
      </c>
      <c r="B6" t="s">
        <v>13</v>
      </c>
      <c r="C6" t="s">
        <v>11</v>
      </c>
      <c r="D6">
        <v>4</v>
      </c>
      <c r="E6">
        <v>60</v>
      </c>
      <c r="F6">
        <v>32</v>
      </c>
      <c r="G6" t="s">
        <v>9</v>
      </c>
      <c r="H6">
        <v>240</v>
      </c>
      <c r="I6">
        <v>112</v>
      </c>
    </row>
    <row r="7" spans="1:9">
      <c r="A7" s="1">
        <v>46266</v>
      </c>
      <c r="B7" t="s">
        <v>14</v>
      </c>
      <c r="C7" t="s">
        <v>8</v>
      </c>
      <c r="D7">
        <v>5</v>
      </c>
      <c r="E7">
        <v>50</v>
      </c>
      <c r="F7">
        <v>20</v>
      </c>
      <c r="G7" t="s">
        <v>9</v>
      </c>
      <c r="H7">
        <v>250</v>
      </c>
      <c r="I7">
        <v>150</v>
      </c>
    </row>
    <row r="8" spans="1:9">
      <c r="A8" s="1">
        <v>46266</v>
      </c>
      <c r="B8" t="s">
        <v>15</v>
      </c>
      <c r="C8" t="s">
        <v>16</v>
      </c>
      <c r="D8">
        <v>8</v>
      </c>
      <c r="E8">
        <v>25</v>
      </c>
      <c r="F8">
        <v>12</v>
      </c>
      <c r="G8" t="s">
        <v>12</v>
      </c>
      <c r="H8">
        <v>200</v>
      </c>
      <c r="I8">
        <v>104</v>
      </c>
    </row>
    <row r="9" spans="1:9">
      <c r="A9" s="1">
        <v>46267</v>
      </c>
      <c r="B9" t="s">
        <v>7</v>
      </c>
      <c r="C9" t="s">
        <v>8</v>
      </c>
      <c r="D9">
        <v>4</v>
      </c>
      <c r="E9">
        <v>80</v>
      </c>
      <c r="F9">
        <v>45</v>
      </c>
      <c r="G9" t="s">
        <v>9</v>
      </c>
      <c r="H9">
        <v>320</v>
      </c>
      <c r="I9">
        <v>140</v>
      </c>
    </row>
    <row r="10" spans="1:9">
      <c r="A10" s="1">
        <v>46267</v>
      </c>
      <c r="B10" t="s">
        <v>17</v>
      </c>
      <c r="C10" t="s">
        <v>11</v>
      </c>
      <c r="D10">
        <v>2</v>
      </c>
      <c r="E10">
        <v>90</v>
      </c>
      <c r="F10">
        <v>50</v>
      </c>
      <c r="G10" t="s">
        <v>9</v>
      </c>
      <c r="H10">
        <v>180</v>
      </c>
      <c r="I10">
        <v>80</v>
      </c>
    </row>
    <row r="11" spans="1:9">
      <c r="A11" s="1">
        <v>46267</v>
      </c>
      <c r="B11" t="s">
        <v>18</v>
      </c>
      <c r="C11" t="s">
        <v>16</v>
      </c>
      <c r="D11">
        <v>3</v>
      </c>
      <c r="E11">
        <v>70</v>
      </c>
      <c r="F11">
        <v>35</v>
      </c>
      <c r="G11" t="s">
        <v>12</v>
      </c>
      <c r="H11">
        <v>210</v>
      </c>
      <c r="I11">
        <v>105</v>
      </c>
    </row>
    <row r="12" spans="1:9">
      <c r="A12" s="1">
        <v>46267</v>
      </c>
      <c r="B12" t="s">
        <v>19</v>
      </c>
      <c r="C12" t="s">
        <v>8</v>
      </c>
      <c r="D12">
        <v>5</v>
      </c>
      <c r="E12">
        <v>45</v>
      </c>
      <c r="F12">
        <v>18</v>
      </c>
      <c r="G12" t="s">
        <v>9</v>
      </c>
      <c r="H12">
        <v>225</v>
      </c>
      <c r="I12">
        <v>135</v>
      </c>
    </row>
    <row r="13" spans="1:9">
      <c r="A13" s="1">
        <v>46267</v>
      </c>
      <c r="B13" t="s">
        <v>20</v>
      </c>
      <c r="C13" t="s">
        <v>16</v>
      </c>
      <c r="D13">
        <v>6</v>
      </c>
      <c r="E13">
        <v>30</v>
      </c>
      <c r="F13">
        <v>15</v>
      </c>
      <c r="G13" t="s">
        <v>12</v>
      </c>
      <c r="H13">
        <v>180</v>
      </c>
      <c r="I13">
        <v>90</v>
      </c>
    </row>
    <row r="14" spans="1:9">
      <c r="A14" s="1">
        <v>46268</v>
      </c>
      <c r="B14" t="s">
        <v>13</v>
      </c>
      <c r="C14" t="s">
        <v>11</v>
      </c>
      <c r="D14">
        <v>3</v>
      </c>
      <c r="E14">
        <v>60</v>
      </c>
      <c r="F14">
        <v>32</v>
      </c>
      <c r="G14" t="s">
        <v>9</v>
      </c>
      <c r="H14">
        <v>180</v>
      </c>
      <c r="I14">
        <v>84</v>
      </c>
    </row>
    <row r="15" spans="1:9">
      <c r="A15" s="1">
        <v>46268</v>
      </c>
      <c r="B15" t="s">
        <v>7</v>
      </c>
      <c r="C15" t="s">
        <v>8</v>
      </c>
      <c r="D15">
        <v>2</v>
      </c>
      <c r="E15">
        <v>80</v>
      </c>
      <c r="F15">
        <v>45</v>
      </c>
      <c r="G15" t="s">
        <v>12</v>
      </c>
      <c r="H15">
        <v>160</v>
      </c>
      <c r="I15">
        <v>70</v>
      </c>
    </row>
    <row r="16" spans="1:9">
      <c r="A16" s="1">
        <v>46268</v>
      </c>
      <c r="B16" t="s">
        <v>21</v>
      </c>
      <c r="C16" t="s">
        <v>11</v>
      </c>
      <c r="D16">
        <v>2</v>
      </c>
      <c r="E16">
        <v>100</v>
      </c>
      <c r="F16">
        <v>55</v>
      </c>
      <c r="G16" t="s">
        <v>9</v>
      </c>
      <c r="H16">
        <v>200</v>
      </c>
      <c r="I16">
        <v>90</v>
      </c>
    </row>
    <row r="17" spans="1:9">
      <c r="A17" s="1">
        <v>46268</v>
      </c>
      <c r="B17" t="s">
        <v>14</v>
      </c>
      <c r="C17" t="s">
        <v>8</v>
      </c>
      <c r="D17">
        <v>7</v>
      </c>
      <c r="E17">
        <v>50</v>
      </c>
      <c r="F17">
        <v>20</v>
      </c>
      <c r="G17" t="s">
        <v>9</v>
      </c>
      <c r="H17">
        <v>350</v>
      </c>
      <c r="I17">
        <v>210</v>
      </c>
    </row>
    <row r="18" spans="1:9">
      <c r="A18" s="1">
        <v>46268</v>
      </c>
      <c r="B18" t="s">
        <v>22</v>
      </c>
      <c r="C18" t="s">
        <v>16</v>
      </c>
      <c r="D18">
        <v>5</v>
      </c>
      <c r="E18">
        <v>25</v>
      </c>
      <c r="F18">
        <v>10</v>
      </c>
      <c r="G18" t="s">
        <v>12</v>
      </c>
      <c r="H18">
        <v>125</v>
      </c>
      <c r="I18">
        <v>75</v>
      </c>
    </row>
    <row r="19" spans="1:9">
      <c r="A19" s="1">
        <v>46269</v>
      </c>
      <c r="B19" t="s">
        <v>10</v>
      </c>
      <c r="C19" t="s">
        <v>11</v>
      </c>
      <c r="D19">
        <v>4</v>
      </c>
      <c r="E19">
        <v>70</v>
      </c>
      <c r="F19">
        <v>40</v>
      </c>
      <c r="G19" t="s">
        <v>9</v>
      </c>
      <c r="H19">
        <v>280</v>
      </c>
      <c r="I19">
        <v>120</v>
      </c>
    </row>
    <row r="20" spans="1:9">
      <c r="A20" s="1">
        <v>46269</v>
      </c>
      <c r="B20" t="s">
        <v>7</v>
      </c>
      <c r="C20" t="s">
        <v>8</v>
      </c>
      <c r="D20">
        <v>5</v>
      </c>
      <c r="E20">
        <v>80</v>
      </c>
      <c r="F20">
        <v>45</v>
      </c>
      <c r="G20" t="s">
        <v>9</v>
      </c>
      <c r="H20">
        <v>400</v>
      </c>
      <c r="I20">
        <v>175</v>
      </c>
    </row>
    <row r="21" spans="1:9">
      <c r="A21" s="1">
        <v>46269</v>
      </c>
      <c r="B21" t="s">
        <v>15</v>
      </c>
      <c r="C21" t="s">
        <v>16</v>
      </c>
      <c r="D21">
        <v>10</v>
      </c>
      <c r="E21">
        <v>25</v>
      </c>
      <c r="F21">
        <v>12</v>
      </c>
      <c r="G21" t="s">
        <v>12</v>
      </c>
      <c r="H21">
        <v>250</v>
      </c>
      <c r="I21">
        <v>130</v>
      </c>
    </row>
    <row r="22" spans="1:9">
      <c r="A22" s="1">
        <v>46269</v>
      </c>
      <c r="B22" t="s">
        <v>17</v>
      </c>
      <c r="C22" t="s">
        <v>11</v>
      </c>
      <c r="D22">
        <v>3</v>
      </c>
      <c r="E22">
        <v>90</v>
      </c>
      <c r="F22">
        <v>50</v>
      </c>
      <c r="G22" t="s">
        <v>9</v>
      </c>
      <c r="H22">
        <v>270</v>
      </c>
      <c r="I22">
        <v>120</v>
      </c>
    </row>
    <row r="23" spans="1:9">
      <c r="A23" s="1">
        <v>46269</v>
      </c>
      <c r="B23" t="s">
        <v>19</v>
      </c>
      <c r="C23" t="s">
        <v>8</v>
      </c>
      <c r="D23">
        <v>4</v>
      </c>
      <c r="E23">
        <v>45</v>
      </c>
      <c r="F23">
        <v>18</v>
      </c>
      <c r="G23" t="s">
        <v>12</v>
      </c>
      <c r="H23">
        <v>180</v>
      </c>
      <c r="I23">
        <v>108</v>
      </c>
    </row>
    <row r="24" spans="1:9">
      <c r="A24" s="1">
        <v>46270</v>
      </c>
      <c r="B24" t="s">
        <v>18</v>
      </c>
      <c r="C24" t="s">
        <v>16</v>
      </c>
      <c r="D24">
        <v>4</v>
      </c>
      <c r="E24">
        <v>70</v>
      </c>
      <c r="F24">
        <v>35</v>
      </c>
      <c r="G24" t="s">
        <v>9</v>
      </c>
      <c r="H24">
        <v>280</v>
      </c>
      <c r="I24">
        <v>140</v>
      </c>
    </row>
    <row r="25" spans="1:9">
      <c r="A25" s="1">
        <v>46270</v>
      </c>
      <c r="B25" t="s">
        <v>13</v>
      </c>
      <c r="C25" t="s">
        <v>11</v>
      </c>
      <c r="D25">
        <v>5</v>
      </c>
      <c r="E25">
        <v>60</v>
      </c>
      <c r="F25">
        <v>32</v>
      </c>
      <c r="G25" t="s">
        <v>9</v>
      </c>
      <c r="H25">
        <v>300</v>
      </c>
      <c r="I25">
        <v>140</v>
      </c>
    </row>
    <row r="26" spans="1:9">
      <c r="A26" s="1">
        <v>46270</v>
      </c>
      <c r="B26" t="s">
        <v>14</v>
      </c>
      <c r="C26" t="s">
        <v>8</v>
      </c>
      <c r="D26">
        <v>6</v>
      </c>
      <c r="E26">
        <v>50</v>
      </c>
      <c r="F26">
        <v>20</v>
      </c>
      <c r="G26" t="s">
        <v>12</v>
      </c>
      <c r="H26">
        <v>300</v>
      </c>
      <c r="I26">
        <v>180</v>
      </c>
    </row>
    <row r="27" spans="1:9">
      <c r="A27" s="1">
        <v>46270</v>
      </c>
      <c r="B27" t="s">
        <v>20</v>
      </c>
      <c r="C27" t="s">
        <v>16</v>
      </c>
      <c r="D27">
        <v>7</v>
      </c>
      <c r="E27">
        <v>30</v>
      </c>
      <c r="F27">
        <v>15</v>
      </c>
      <c r="G27" t="s">
        <v>9</v>
      </c>
      <c r="H27">
        <v>210</v>
      </c>
      <c r="I27">
        <v>105</v>
      </c>
    </row>
    <row r="28" spans="1:9">
      <c r="A28" s="1">
        <v>46270</v>
      </c>
      <c r="B28" t="s">
        <v>21</v>
      </c>
      <c r="C28" t="s">
        <v>11</v>
      </c>
      <c r="D28">
        <v>2</v>
      </c>
      <c r="E28">
        <v>100</v>
      </c>
      <c r="F28">
        <v>55</v>
      </c>
      <c r="G28" t="s">
        <v>9</v>
      </c>
      <c r="H28">
        <v>200</v>
      </c>
      <c r="I28">
        <v>90</v>
      </c>
    </row>
    <row r="29" spans="1:9">
      <c r="A29" s="1">
        <v>46271</v>
      </c>
      <c r="B29" t="s">
        <v>7</v>
      </c>
      <c r="C29" t="s">
        <v>8</v>
      </c>
      <c r="D29">
        <v>6</v>
      </c>
      <c r="E29">
        <v>80</v>
      </c>
      <c r="F29">
        <v>45</v>
      </c>
      <c r="G29" t="s">
        <v>9</v>
      </c>
      <c r="H29">
        <v>480</v>
      </c>
      <c r="I29">
        <v>210</v>
      </c>
    </row>
    <row r="30" spans="1:9">
      <c r="A30" s="1">
        <v>46271</v>
      </c>
      <c r="B30" t="s">
        <v>10</v>
      </c>
      <c r="C30" t="s">
        <v>11</v>
      </c>
      <c r="D30">
        <v>3</v>
      </c>
      <c r="E30">
        <v>70</v>
      </c>
      <c r="F30">
        <v>40</v>
      </c>
      <c r="G30" t="s">
        <v>12</v>
      </c>
      <c r="H30">
        <v>210</v>
      </c>
      <c r="I30">
        <v>90</v>
      </c>
    </row>
    <row r="31" spans="1:9">
      <c r="A31" s="1">
        <v>46271</v>
      </c>
      <c r="B31" t="s">
        <v>15</v>
      </c>
      <c r="C31" t="s">
        <v>16</v>
      </c>
      <c r="D31">
        <v>12</v>
      </c>
      <c r="E31">
        <v>25</v>
      </c>
      <c r="F31">
        <v>12</v>
      </c>
      <c r="G31" t="s">
        <v>9</v>
      </c>
      <c r="H31">
        <v>300</v>
      </c>
      <c r="I31">
        <v>156</v>
      </c>
    </row>
    <row r="32" spans="1:9">
      <c r="A32" s="1">
        <v>46271</v>
      </c>
      <c r="B32" t="s">
        <v>19</v>
      </c>
      <c r="C32" t="s">
        <v>8</v>
      </c>
      <c r="D32">
        <v>5</v>
      </c>
      <c r="E32">
        <v>45</v>
      </c>
      <c r="F32">
        <v>18</v>
      </c>
      <c r="G32" t="s">
        <v>9</v>
      </c>
      <c r="H32">
        <v>225</v>
      </c>
      <c r="I32">
        <v>135</v>
      </c>
    </row>
    <row r="33" spans="1:9">
      <c r="A33" s="1">
        <v>46271</v>
      </c>
      <c r="B33" t="s">
        <v>22</v>
      </c>
      <c r="C33" t="s">
        <v>16</v>
      </c>
      <c r="D33">
        <v>8</v>
      </c>
      <c r="E33">
        <v>25</v>
      </c>
      <c r="F33">
        <v>10</v>
      </c>
      <c r="G33" t="s">
        <v>12</v>
      </c>
      <c r="H33">
        <v>200</v>
      </c>
      <c r="I33">
        <v>120</v>
      </c>
    </row>
    <row r="34" spans="1:9">
      <c r="A34" s="1">
        <v>46272</v>
      </c>
      <c r="B34" t="s">
        <v>17</v>
      </c>
      <c r="C34" t="s">
        <v>11</v>
      </c>
      <c r="D34">
        <v>4</v>
      </c>
      <c r="E34">
        <v>90</v>
      </c>
      <c r="F34">
        <v>50</v>
      </c>
      <c r="G34" t="s">
        <v>9</v>
      </c>
      <c r="H34">
        <v>360</v>
      </c>
      <c r="I34">
        <v>160</v>
      </c>
    </row>
    <row r="35" spans="1:9">
      <c r="A35" s="1">
        <v>46272</v>
      </c>
      <c r="B35" t="s">
        <v>13</v>
      </c>
      <c r="C35" t="s">
        <v>11</v>
      </c>
      <c r="D35">
        <v>6</v>
      </c>
      <c r="E35">
        <v>60</v>
      </c>
      <c r="F35">
        <v>32</v>
      </c>
      <c r="G35" t="s">
        <v>9</v>
      </c>
      <c r="H35">
        <v>360</v>
      </c>
      <c r="I35">
        <v>168</v>
      </c>
    </row>
    <row r="36" spans="1:9">
      <c r="A36" s="1">
        <v>46272</v>
      </c>
      <c r="B36" t="s">
        <v>14</v>
      </c>
      <c r="C36" t="s">
        <v>8</v>
      </c>
      <c r="D36">
        <v>8</v>
      </c>
      <c r="E36">
        <v>50</v>
      </c>
      <c r="F36">
        <v>20</v>
      </c>
      <c r="G36" t="s">
        <v>12</v>
      </c>
      <c r="H36">
        <v>400</v>
      </c>
      <c r="I36">
        <v>240</v>
      </c>
    </row>
    <row r="37" spans="1:9">
      <c r="A37" s="1">
        <v>46272</v>
      </c>
      <c r="B37" t="s">
        <v>18</v>
      </c>
      <c r="C37" t="s">
        <v>16</v>
      </c>
      <c r="D37">
        <v>5</v>
      </c>
      <c r="E37">
        <v>70</v>
      </c>
      <c r="F37">
        <v>35</v>
      </c>
      <c r="G37" t="s">
        <v>9</v>
      </c>
      <c r="H37">
        <v>350</v>
      </c>
      <c r="I37">
        <v>175</v>
      </c>
    </row>
    <row r="38" spans="1:9">
      <c r="A38" s="1">
        <v>46272</v>
      </c>
      <c r="B38" t="s">
        <v>7</v>
      </c>
      <c r="C38" t="s">
        <v>8</v>
      </c>
      <c r="D38">
        <v>3</v>
      </c>
      <c r="E38">
        <v>80</v>
      </c>
      <c r="F38">
        <v>45</v>
      </c>
      <c r="G38" t="s">
        <v>9</v>
      </c>
      <c r="H38">
        <v>240</v>
      </c>
      <c r="I38">
        <v>105</v>
      </c>
    </row>
    <row r="39" spans="1:9">
      <c r="A39" s="1">
        <v>46273</v>
      </c>
      <c r="B39" t="s">
        <v>20</v>
      </c>
      <c r="C39" t="s">
        <v>16</v>
      </c>
      <c r="D39">
        <v>9</v>
      </c>
      <c r="E39">
        <v>30</v>
      </c>
      <c r="F39">
        <v>15</v>
      </c>
      <c r="G39" t="s">
        <v>12</v>
      </c>
      <c r="H39">
        <v>270</v>
      </c>
      <c r="I39">
        <v>135</v>
      </c>
    </row>
    <row r="40" spans="1:9">
      <c r="A40" s="1">
        <v>46273</v>
      </c>
      <c r="B40" t="s">
        <v>21</v>
      </c>
      <c r="C40" t="s">
        <v>11</v>
      </c>
      <c r="D40">
        <v>3</v>
      </c>
      <c r="E40">
        <v>100</v>
      </c>
      <c r="F40">
        <v>55</v>
      </c>
      <c r="G40" t="s">
        <v>9</v>
      </c>
      <c r="H40">
        <v>300</v>
      </c>
      <c r="I40">
        <v>135</v>
      </c>
    </row>
    <row r="41" spans="1:9">
      <c r="A41" s="1">
        <v>46273</v>
      </c>
      <c r="B41" t="s">
        <v>10</v>
      </c>
      <c r="C41" t="s">
        <v>11</v>
      </c>
      <c r="D41">
        <v>5</v>
      </c>
      <c r="E41">
        <v>70</v>
      </c>
      <c r="F41">
        <v>40</v>
      </c>
      <c r="G41" t="s">
        <v>9</v>
      </c>
      <c r="H41">
        <v>350</v>
      </c>
      <c r="I41">
        <v>150</v>
      </c>
    </row>
    <row r="42" spans="1:9">
      <c r="A42" s="1">
        <v>46273</v>
      </c>
      <c r="B42" t="s">
        <v>19</v>
      </c>
      <c r="C42" t="s">
        <v>8</v>
      </c>
      <c r="D42">
        <v>6</v>
      </c>
      <c r="E42">
        <v>45</v>
      </c>
      <c r="F42">
        <v>18</v>
      </c>
      <c r="G42" t="s">
        <v>12</v>
      </c>
      <c r="H42">
        <v>270</v>
      </c>
      <c r="I42">
        <v>162</v>
      </c>
    </row>
    <row r="43" spans="1:9">
      <c r="A43" s="1">
        <v>46273</v>
      </c>
      <c r="B43" t="s">
        <v>15</v>
      </c>
      <c r="C43" t="s">
        <v>16</v>
      </c>
      <c r="D43">
        <v>11</v>
      </c>
      <c r="E43">
        <v>25</v>
      </c>
      <c r="F43">
        <v>12</v>
      </c>
      <c r="G43" t="s">
        <v>9</v>
      </c>
      <c r="H43">
        <v>275</v>
      </c>
      <c r="I43">
        <v>143</v>
      </c>
    </row>
    <row r="44" spans="1:9">
      <c r="A44" s="1">
        <v>46274</v>
      </c>
      <c r="B44" t="s">
        <v>7</v>
      </c>
      <c r="C44" t="s">
        <v>8</v>
      </c>
      <c r="D44">
        <v>7</v>
      </c>
      <c r="E44">
        <v>80</v>
      </c>
      <c r="F44">
        <v>45</v>
      </c>
      <c r="G44" t="s">
        <v>9</v>
      </c>
      <c r="H44">
        <v>560</v>
      </c>
      <c r="I44">
        <v>245</v>
      </c>
    </row>
    <row r="45" spans="1:9">
      <c r="A45" s="1">
        <v>46274</v>
      </c>
      <c r="B45" t="s">
        <v>13</v>
      </c>
      <c r="C45" t="s">
        <v>11</v>
      </c>
      <c r="D45">
        <v>4</v>
      </c>
      <c r="E45">
        <v>60</v>
      </c>
      <c r="F45">
        <v>32</v>
      </c>
      <c r="G45" t="s">
        <v>12</v>
      </c>
      <c r="H45">
        <v>240</v>
      </c>
      <c r="I45">
        <v>112</v>
      </c>
    </row>
    <row r="46" spans="1:9">
      <c r="A46" s="1">
        <v>46274</v>
      </c>
      <c r="B46" t="s">
        <v>17</v>
      </c>
      <c r="C46" t="s">
        <v>11</v>
      </c>
      <c r="D46">
        <v>3</v>
      </c>
      <c r="E46">
        <v>90</v>
      </c>
      <c r="F46">
        <v>50</v>
      </c>
      <c r="G46" t="s">
        <v>9</v>
      </c>
      <c r="H46">
        <v>270</v>
      </c>
      <c r="I46">
        <v>120</v>
      </c>
    </row>
    <row r="47" spans="1:9">
      <c r="A47" s="1">
        <v>46274</v>
      </c>
      <c r="B47" t="s">
        <v>14</v>
      </c>
      <c r="C47" t="s">
        <v>8</v>
      </c>
      <c r="D47">
        <v>9</v>
      </c>
      <c r="E47">
        <v>50</v>
      </c>
      <c r="F47">
        <v>20</v>
      </c>
      <c r="G47" t="s">
        <v>9</v>
      </c>
      <c r="H47">
        <v>450</v>
      </c>
      <c r="I47">
        <v>270</v>
      </c>
    </row>
    <row r="48" spans="1:9">
      <c r="A48" s="1">
        <v>46274</v>
      </c>
      <c r="B48" t="s">
        <v>22</v>
      </c>
      <c r="C48" t="s">
        <v>16</v>
      </c>
      <c r="D48">
        <v>6</v>
      </c>
      <c r="E48">
        <v>25</v>
      </c>
      <c r="F48">
        <v>10</v>
      </c>
      <c r="G48" t="s">
        <v>12</v>
      </c>
      <c r="H48">
        <v>150</v>
      </c>
      <c r="I48">
        <v>90</v>
      </c>
    </row>
    <row r="49" spans="1:9">
      <c r="A49" s="1">
        <v>46275</v>
      </c>
      <c r="B49" t="s">
        <v>18</v>
      </c>
      <c r="C49" t="s">
        <v>16</v>
      </c>
      <c r="D49">
        <v>6</v>
      </c>
      <c r="E49">
        <v>70</v>
      </c>
      <c r="F49">
        <v>35</v>
      </c>
      <c r="G49" t="s">
        <v>9</v>
      </c>
      <c r="H49">
        <v>420</v>
      </c>
      <c r="I49">
        <v>210</v>
      </c>
    </row>
    <row r="50" spans="1:9">
      <c r="A50" s="1">
        <v>46275</v>
      </c>
      <c r="B50" t="s">
        <v>10</v>
      </c>
      <c r="C50" t="s">
        <v>11</v>
      </c>
      <c r="D50">
        <v>4</v>
      </c>
      <c r="E50">
        <v>70</v>
      </c>
      <c r="F50">
        <v>40</v>
      </c>
      <c r="G50" t="s">
        <v>9</v>
      </c>
      <c r="H50">
        <v>280</v>
      </c>
      <c r="I50">
        <v>120</v>
      </c>
    </row>
    <row r="51" spans="1:9">
      <c r="A51" s="1">
        <v>46275</v>
      </c>
      <c r="B51" t="s">
        <v>7</v>
      </c>
      <c r="C51" t="s">
        <v>8</v>
      </c>
      <c r="D51">
        <v>5</v>
      </c>
      <c r="E51">
        <v>80</v>
      </c>
      <c r="F51">
        <v>45</v>
      </c>
      <c r="G51" t="s">
        <v>12</v>
      </c>
      <c r="H51">
        <v>400</v>
      </c>
      <c r="I51">
        <v>175</v>
      </c>
    </row>
    <row r="52" spans="1:9">
      <c r="A52" s="1">
        <v>46275</v>
      </c>
      <c r="B52" t="s">
        <v>20</v>
      </c>
      <c r="C52" t="s">
        <v>16</v>
      </c>
      <c r="D52">
        <v>8</v>
      </c>
      <c r="E52">
        <v>30</v>
      </c>
      <c r="F52">
        <v>15</v>
      </c>
      <c r="G52" t="s">
        <v>9</v>
      </c>
      <c r="H52">
        <v>240</v>
      </c>
      <c r="I52">
        <v>120</v>
      </c>
    </row>
    <row r="53" spans="1:9">
      <c r="A53" s="1">
        <v>46275</v>
      </c>
      <c r="B53" t="s">
        <v>21</v>
      </c>
      <c r="C53" t="s">
        <v>11</v>
      </c>
      <c r="D53">
        <v>3</v>
      </c>
      <c r="E53">
        <v>100</v>
      </c>
      <c r="F53">
        <v>55</v>
      </c>
      <c r="G53" t="s">
        <v>9</v>
      </c>
      <c r="H53">
        <v>300</v>
      </c>
      <c r="I53">
        <v>135</v>
      </c>
    </row>
    <row r="54" spans="1:9">
      <c r="A54" s="1">
        <v>46276</v>
      </c>
      <c r="B54" t="s">
        <v>13</v>
      </c>
      <c r="C54" t="s">
        <v>11</v>
      </c>
      <c r="D54">
        <v>7</v>
      </c>
      <c r="E54">
        <v>60</v>
      </c>
      <c r="F54">
        <v>32</v>
      </c>
      <c r="G54" t="s">
        <v>9</v>
      </c>
      <c r="H54">
        <v>420</v>
      </c>
      <c r="I54">
        <v>196</v>
      </c>
    </row>
    <row r="55" spans="1:9">
      <c r="A55" s="1">
        <v>46276</v>
      </c>
      <c r="B55" t="s">
        <v>14</v>
      </c>
      <c r="C55" t="s">
        <v>8</v>
      </c>
      <c r="D55">
        <v>10</v>
      </c>
      <c r="E55">
        <v>50</v>
      </c>
      <c r="F55">
        <v>20</v>
      </c>
      <c r="G55" t="s">
        <v>12</v>
      </c>
      <c r="H55">
        <v>500</v>
      </c>
      <c r="I55">
        <v>300</v>
      </c>
    </row>
    <row r="56" spans="1:9">
      <c r="A56" s="1">
        <v>46276</v>
      </c>
      <c r="B56" t="s">
        <v>15</v>
      </c>
      <c r="C56" t="s">
        <v>16</v>
      </c>
      <c r="D56">
        <v>14</v>
      </c>
      <c r="E56">
        <v>25</v>
      </c>
      <c r="F56">
        <v>12</v>
      </c>
      <c r="G56" t="s">
        <v>9</v>
      </c>
      <c r="H56">
        <v>350</v>
      </c>
      <c r="I56">
        <v>182</v>
      </c>
    </row>
    <row r="57" spans="1:9">
      <c r="A57" s="1">
        <v>46276</v>
      </c>
      <c r="B57" t="s">
        <v>19</v>
      </c>
      <c r="C57" t="s">
        <v>8</v>
      </c>
      <c r="D57">
        <v>6</v>
      </c>
      <c r="E57">
        <v>45</v>
      </c>
      <c r="F57">
        <v>18</v>
      </c>
      <c r="G57" t="s">
        <v>9</v>
      </c>
      <c r="H57">
        <v>270</v>
      </c>
      <c r="I57">
        <v>162</v>
      </c>
    </row>
    <row r="58" spans="1:9">
      <c r="A58" s="1">
        <v>46276</v>
      </c>
      <c r="B58" t="s">
        <v>17</v>
      </c>
      <c r="C58" t="s">
        <v>11</v>
      </c>
      <c r="D58">
        <v>4</v>
      </c>
      <c r="E58">
        <v>90</v>
      </c>
      <c r="F58">
        <v>50</v>
      </c>
      <c r="G58" t="s">
        <v>12</v>
      </c>
      <c r="H58">
        <v>360</v>
      </c>
      <c r="I58">
        <v>160</v>
      </c>
    </row>
    <row r="59" spans="1:9">
      <c r="A59" s="1">
        <v>46277</v>
      </c>
      <c r="B59" t="s">
        <v>7</v>
      </c>
      <c r="C59" t="s">
        <v>8</v>
      </c>
      <c r="D59">
        <v>8</v>
      </c>
      <c r="E59">
        <v>80</v>
      </c>
      <c r="F59">
        <v>45</v>
      </c>
      <c r="G59" t="s">
        <v>9</v>
      </c>
      <c r="H59">
        <v>640</v>
      </c>
      <c r="I59">
        <v>280</v>
      </c>
    </row>
    <row r="60" spans="1:9">
      <c r="A60" s="1">
        <v>46277</v>
      </c>
      <c r="B60" t="s">
        <v>10</v>
      </c>
      <c r="C60" t="s">
        <v>11</v>
      </c>
      <c r="D60">
        <v>5</v>
      </c>
      <c r="E60">
        <v>70</v>
      </c>
      <c r="F60">
        <v>40</v>
      </c>
      <c r="G60" t="s">
        <v>9</v>
      </c>
      <c r="H60">
        <v>350</v>
      </c>
      <c r="I60">
        <v>150</v>
      </c>
    </row>
    <row r="61" spans="1:9">
      <c r="A61" s="1">
        <v>46277</v>
      </c>
      <c r="B61" t="s">
        <v>18</v>
      </c>
      <c r="C61" t="s">
        <v>16</v>
      </c>
      <c r="D61">
        <v>7</v>
      </c>
      <c r="E61">
        <v>70</v>
      </c>
      <c r="F61">
        <v>35</v>
      </c>
      <c r="G61" t="s">
        <v>12</v>
      </c>
      <c r="H61">
        <v>490</v>
      </c>
      <c r="I61">
        <v>245</v>
      </c>
    </row>
    <row r="62" spans="1:9">
      <c r="A62" s="1">
        <v>46277</v>
      </c>
      <c r="B62" t="s">
        <v>20</v>
      </c>
      <c r="C62" t="s">
        <v>16</v>
      </c>
      <c r="D62">
        <v>10</v>
      </c>
      <c r="E62">
        <v>30</v>
      </c>
      <c r="F62">
        <v>15</v>
      </c>
      <c r="G62" t="s">
        <v>9</v>
      </c>
      <c r="H62">
        <v>300</v>
      </c>
      <c r="I62">
        <v>150</v>
      </c>
    </row>
    <row r="63" spans="1:9">
      <c r="A63" s="1">
        <v>46277</v>
      </c>
      <c r="B63" t="s">
        <v>21</v>
      </c>
      <c r="C63" t="s">
        <v>11</v>
      </c>
      <c r="D63">
        <v>4</v>
      </c>
      <c r="E63">
        <v>100</v>
      </c>
      <c r="F63">
        <v>55</v>
      </c>
      <c r="G63" t="s">
        <v>9</v>
      </c>
      <c r="H63">
        <v>400</v>
      </c>
      <c r="I63">
        <v>180</v>
      </c>
    </row>
    <row r="64" spans="1:9">
      <c r="A64" s="1">
        <v>46278</v>
      </c>
      <c r="B64" t="s">
        <v>14</v>
      </c>
      <c r="C64" t="s">
        <v>8</v>
      </c>
      <c r="D64">
        <v>11</v>
      </c>
      <c r="E64">
        <v>50</v>
      </c>
      <c r="F64">
        <v>20</v>
      </c>
      <c r="G64" t="s">
        <v>9</v>
      </c>
      <c r="H64">
        <v>550</v>
      </c>
      <c r="I64">
        <v>330</v>
      </c>
    </row>
    <row r="65" spans="1:9">
      <c r="A65" s="1">
        <v>46278</v>
      </c>
      <c r="B65" t="s">
        <v>13</v>
      </c>
      <c r="C65" t="s">
        <v>11</v>
      </c>
      <c r="D65">
        <v>5</v>
      </c>
      <c r="E65">
        <v>60</v>
      </c>
      <c r="F65">
        <v>32</v>
      </c>
      <c r="G65" t="s">
        <v>12</v>
      </c>
      <c r="H65">
        <v>300</v>
      </c>
      <c r="I65">
        <v>140</v>
      </c>
    </row>
    <row r="66" spans="1:9">
      <c r="A66" s="1">
        <v>46278</v>
      </c>
      <c r="B66" t="s">
        <v>7</v>
      </c>
      <c r="C66" t="s">
        <v>8</v>
      </c>
      <c r="D66">
        <v>6</v>
      </c>
      <c r="E66">
        <v>80</v>
      </c>
      <c r="F66">
        <v>45</v>
      </c>
      <c r="G66" t="s">
        <v>9</v>
      </c>
      <c r="H66">
        <v>480</v>
      </c>
      <c r="I66">
        <v>210</v>
      </c>
    </row>
    <row r="67" spans="1:9">
      <c r="A67" s="1">
        <v>46278</v>
      </c>
      <c r="B67" t="s">
        <v>22</v>
      </c>
      <c r="C67" t="s">
        <v>16</v>
      </c>
      <c r="D67">
        <v>9</v>
      </c>
      <c r="E67">
        <v>25</v>
      </c>
      <c r="F67">
        <v>10</v>
      </c>
      <c r="G67" t="s">
        <v>12</v>
      </c>
      <c r="H67">
        <v>225</v>
      </c>
      <c r="I67">
        <v>135</v>
      </c>
    </row>
    <row r="68" spans="1:9">
      <c r="A68" s="1">
        <v>46278</v>
      </c>
      <c r="B68" t="s">
        <v>17</v>
      </c>
      <c r="C68" t="s">
        <v>11</v>
      </c>
      <c r="D68">
        <v>3</v>
      </c>
      <c r="E68">
        <v>90</v>
      </c>
      <c r="F68">
        <v>50</v>
      </c>
      <c r="G68" t="s">
        <v>9</v>
      </c>
      <c r="H68">
        <v>270</v>
      </c>
      <c r="I68">
        <v>120</v>
      </c>
    </row>
    <row r="69" spans="1:9">
      <c r="A69" s="1">
        <v>46279</v>
      </c>
      <c r="B69" t="s">
        <v>15</v>
      </c>
      <c r="C69" t="s">
        <v>16</v>
      </c>
      <c r="D69">
        <v>16</v>
      </c>
      <c r="E69">
        <v>25</v>
      </c>
      <c r="F69">
        <v>12</v>
      </c>
      <c r="G69" t="s">
        <v>9</v>
      </c>
      <c r="H69">
        <v>400</v>
      </c>
      <c r="I69">
        <v>208</v>
      </c>
    </row>
    <row r="70" spans="1:9">
      <c r="A70" s="1">
        <v>46279</v>
      </c>
      <c r="B70" t="s">
        <v>19</v>
      </c>
      <c r="C70" t="s">
        <v>8</v>
      </c>
      <c r="D70">
        <v>8</v>
      </c>
      <c r="E70">
        <v>45</v>
      </c>
      <c r="F70">
        <v>18</v>
      </c>
      <c r="G70" t="s">
        <v>12</v>
      </c>
      <c r="H70">
        <v>360</v>
      </c>
      <c r="I70">
        <v>216</v>
      </c>
    </row>
    <row r="71" spans="1:9">
      <c r="A71" s="1">
        <v>46279</v>
      </c>
      <c r="B71" t="s">
        <v>10</v>
      </c>
      <c r="C71" t="s">
        <v>11</v>
      </c>
      <c r="D71">
        <v>6</v>
      </c>
      <c r="E71">
        <v>70</v>
      </c>
      <c r="F71">
        <v>40</v>
      </c>
      <c r="G71" t="s">
        <v>9</v>
      </c>
      <c r="H71">
        <v>420</v>
      </c>
      <c r="I71">
        <v>180</v>
      </c>
    </row>
    <row r="72" spans="1:9">
      <c r="A72" s="1">
        <v>46279</v>
      </c>
      <c r="B72" t="s">
        <v>18</v>
      </c>
      <c r="C72" t="s">
        <v>16</v>
      </c>
      <c r="D72">
        <v>5</v>
      </c>
      <c r="E72">
        <v>70</v>
      </c>
      <c r="F72">
        <v>35</v>
      </c>
      <c r="G72" t="s">
        <v>9</v>
      </c>
      <c r="H72">
        <v>350</v>
      </c>
      <c r="I72">
        <v>175</v>
      </c>
    </row>
    <row r="73" spans="1:9">
      <c r="A73" s="1">
        <v>46279</v>
      </c>
      <c r="B73" t="s">
        <v>7</v>
      </c>
      <c r="C73" t="s">
        <v>8</v>
      </c>
      <c r="D73">
        <v>7</v>
      </c>
      <c r="E73">
        <v>80</v>
      </c>
      <c r="F73">
        <v>45</v>
      </c>
      <c r="G73" t="s">
        <v>12</v>
      </c>
      <c r="H73">
        <v>560</v>
      </c>
      <c r="I73">
        <v>245</v>
      </c>
    </row>
    <row r="74" spans="1:9">
      <c r="A74" s="1">
        <v>46280</v>
      </c>
      <c r="B74" t="s">
        <v>20</v>
      </c>
      <c r="C74" t="s">
        <v>16</v>
      </c>
      <c r="D74">
        <v>12</v>
      </c>
      <c r="E74">
        <v>30</v>
      </c>
      <c r="F74">
        <v>15</v>
      </c>
      <c r="G74" t="s">
        <v>9</v>
      </c>
      <c r="H74">
        <v>360</v>
      </c>
      <c r="I74">
        <v>180</v>
      </c>
    </row>
    <row r="75" spans="1:9">
      <c r="A75" s="1">
        <v>46280</v>
      </c>
      <c r="B75" t="s">
        <v>21</v>
      </c>
      <c r="C75" t="s">
        <v>11</v>
      </c>
      <c r="D75">
        <v>4</v>
      </c>
      <c r="E75">
        <v>100</v>
      </c>
      <c r="F75">
        <v>55</v>
      </c>
      <c r="G75" t="s">
        <v>9</v>
      </c>
      <c r="H75">
        <v>400</v>
      </c>
      <c r="I75">
        <v>180</v>
      </c>
    </row>
    <row r="76" spans="1:9">
      <c r="A76" s="1">
        <v>46280</v>
      </c>
      <c r="B76" t="s">
        <v>14</v>
      </c>
      <c r="C76" t="s">
        <v>8</v>
      </c>
      <c r="D76">
        <v>9</v>
      </c>
      <c r="E76">
        <v>50</v>
      </c>
      <c r="F76">
        <v>20</v>
      </c>
      <c r="G76" t="s">
        <v>12</v>
      </c>
      <c r="H76">
        <v>450</v>
      </c>
      <c r="I76">
        <v>270</v>
      </c>
    </row>
    <row r="77" spans="1:9">
      <c r="A77" s="1">
        <v>46280</v>
      </c>
      <c r="B77" t="s">
        <v>13</v>
      </c>
      <c r="C77" t="s">
        <v>11</v>
      </c>
      <c r="D77">
        <v>6</v>
      </c>
      <c r="E77">
        <v>60</v>
      </c>
      <c r="F77">
        <v>32</v>
      </c>
      <c r="G77" t="s">
        <v>9</v>
      </c>
      <c r="H77">
        <v>360</v>
      </c>
      <c r="I77">
        <v>168</v>
      </c>
    </row>
    <row r="78" spans="1:9">
      <c r="A78" s="1">
        <v>46280</v>
      </c>
      <c r="B78" t="s">
        <v>22</v>
      </c>
      <c r="C78" t="s">
        <v>16</v>
      </c>
      <c r="D78">
        <v>10</v>
      </c>
      <c r="E78">
        <v>25</v>
      </c>
      <c r="F78">
        <v>10</v>
      </c>
      <c r="G78" t="s">
        <v>9</v>
      </c>
      <c r="H78">
        <v>250</v>
      </c>
      <c r="I78">
        <v>150</v>
      </c>
    </row>
    <row r="79" spans="1:9">
      <c r="A79" s="1">
        <v>46281</v>
      </c>
      <c r="B79" t="s">
        <v>7</v>
      </c>
      <c r="C79" t="s">
        <v>8</v>
      </c>
      <c r="D79">
        <v>9</v>
      </c>
      <c r="E79">
        <v>80</v>
      </c>
      <c r="F79">
        <v>45</v>
      </c>
      <c r="G79" t="s">
        <v>9</v>
      </c>
      <c r="H79">
        <v>720</v>
      </c>
      <c r="I79">
        <v>315</v>
      </c>
    </row>
    <row r="80" spans="1:9">
      <c r="A80" s="1">
        <v>46281</v>
      </c>
      <c r="B80" t="s">
        <v>17</v>
      </c>
      <c r="C80" t="s">
        <v>11</v>
      </c>
      <c r="D80">
        <v>5</v>
      </c>
      <c r="E80">
        <v>90</v>
      </c>
      <c r="F80">
        <v>50</v>
      </c>
      <c r="G80" t="s">
        <v>12</v>
      </c>
      <c r="H80">
        <v>450</v>
      </c>
      <c r="I80">
        <v>200</v>
      </c>
    </row>
    <row r="81" spans="1:9">
      <c r="A81" s="1">
        <v>46281</v>
      </c>
      <c r="B81" t="s">
        <v>15</v>
      </c>
      <c r="C81" t="s">
        <v>16</v>
      </c>
      <c r="D81">
        <v>15</v>
      </c>
      <c r="E81">
        <v>25</v>
      </c>
      <c r="F81">
        <v>12</v>
      </c>
      <c r="G81" t="s">
        <v>9</v>
      </c>
      <c r="H81">
        <v>375</v>
      </c>
      <c r="I81">
        <v>195</v>
      </c>
    </row>
    <row r="82" spans="1:9">
      <c r="A82" s="1">
        <v>46281</v>
      </c>
      <c r="B82" t="s">
        <v>19</v>
      </c>
      <c r="C82" t="s">
        <v>8</v>
      </c>
      <c r="D82">
        <v>7</v>
      </c>
      <c r="E82">
        <v>45</v>
      </c>
      <c r="F82">
        <v>18</v>
      </c>
      <c r="G82" t="s">
        <v>9</v>
      </c>
      <c r="H82">
        <v>315</v>
      </c>
      <c r="I82">
        <v>189</v>
      </c>
    </row>
    <row r="83" spans="1:9">
      <c r="A83" s="1">
        <v>46281</v>
      </c>
      <c r="B83" t="s">
        <v>10</v>
      </c>
      <c r="C83" t="s">
        <v>11</v>
      </c>
      <c r="D83">
        <v>4</v>
      </c>
      <c r="E83">
        <v>70</v>
      </c>
      <c r="F83">
        <v>40</v>
      </c>
      <c r="G83" t="s">
        <v>12</v>
      </c>
      <c r="H83">
        <v>280</v>
      </c>
      <c r="I83">
        <v>120</v>
      </c>
    </row>
    <row r="84" spans="1:9">
      <c r="A84" s="1">
        <v>46282</v>
      </c>
      <c r="B84" t="s">
        <v>18</v>
      </c>
      <c r="C84" t="s">
        <v>16</v>
      </c>
      <c r="D84">
        <v>8</v>
      </c>
      <c r="E84">
        <v>70</v>
      </c>
      <c r="F84">
        <v>35</v>
      </c>
      <c r="G84" t="s">
        <v>9</v>
      </c>
      <c r="H84">
        <v>560</v>
      </c>
      <c r="I84">
        <v>280</v>
      </c>
    </row>
    <row r="85" spans="1:9">
      <c r="A85" s="1">
        <v>46282</v>
      </c>
      <c r="B85" t="s">
        <v>14</v>
      </c>
      <c r="C85" t="s">
        <v>8</v>
      </c>
      <c r="D85">
        <v>12</v>
      </c>
      <c r="E85">
        <v>50</v>
      </c>
      <c r="F85">
        <v>20</v>
      </c>
      <c r="G85" t="s">
        <v>9</v>
      </c>
      <c r="H85">
        <v>600</v>
      </c>
      <c r="I85">
        <v>360</v>
      </c>
    </row>
    <row r="86" spans="1:9">
      <c r="A86" s="1">
        <v>46282</v>
      </c>
      <c r="B86" t="s">
        <v>21</v>
      </c>
      <c r="C86" t="s">
        <v>11</v>
      </c>
      <c r="D86">
        <v>5</v>
      </c>
      <c r="E86">
        <v>100</v>
      </c>
      <c r="F86">
        <v>55</v>
      </c>
      <c r="G86" t="s">
        <v>12</v>
      </c>
      <c r="H86">
        <v>500</v>
      </c>
      <c r="I86">
        <v>225</v>
      </c>
    </row>
    <row r="87" spans="1:9">
      <c r="A87" s="1">
        <v>46282</v>
      </c>
      <c r="B87" t="s">
        <v>20</v>
      </c>
      <c r="C87" t="s">
        <v>16</v>
      </c>
      <c r="D87">
        <v>11</v>
      </c>
      <c r="E87">
        <v>30</v>
      </c>
      <c r="F87">
        <v>15</v>
      </c>
      <c r="G87" t="s">
        <v>9</v>
      </c>
      <c r="H87">
        <v>330</v>
      </c>
      <c r="I87">
        <v>165</v>
      </c>
    </row>
    <row r="88" spans="1:9">
      <c r="A88" s="1">
        <v>46282</v>
      </c>
      <c r="B88" t="s">
        <v>13</v>
      </c>
      <c r="C88" t="s">
        <v>11</v>
      </c>
      <c r="D88">
        <v>7</v>
      </c>
      <c r="E88">
        <v>60</v>
      </c>
      <c r="F88">
        <v>32</v>
      </c>
      <c r="G88" t="s">
        <v>9</v>
      </c>
      <c r="H88">
        <v>420</v>
      </c>
      <c r="I88">
        <v>196</v>
      </c>
    </row>
    <row r="89" spans="1:9">
      <c r="A89" s="1">
        <v>46283</v>
      </c>
      <c r="B89" t="s">
        <v>7</v>
      </c>
      <c r="C89" t="s">
        <v>8</v>
      </c>
      <c r="D89">
        <v>10</v>
      </c>
      <c r="E89">
        <v>80</v>
      </c>
      <c r="F89">
        <v>45</v>
      </c>
      <c r="G89" t="s">
        <v>12</v>
      </c>
      <c r="H89">
        <v>800</v>
      </c>
      <c r="I89">
        <v>350</v>
      </c>
    </row>
    <row r="90" spans="1:9">
      <c r="A90" s="1">
        <v>46283</v>
      </c>
      <c r="B90" t="s">
        <v>10</v>
      </c>
      <c r="C90" t="s">
        <v>11</v>
      </c>
      <c r="D90">
        <v>6</v>
      </c>
      <c r="E90">
        <v>70</v>
      </c>
      <c r="F90">
        <v>40</v>
      </c>
      <c r="G90" t="s">
        <v>9</v>
      </c>
      <c r="H90">
        <v>420</v>
      </c>
      <c r="I90">
        <v>180</v>
      </c>
    </row>
    <row r="91" spans="1:9">
      <c r="A91" s="1">
        <v>46283</v>
      </c>
      <c r="B91" t="s">
        <v>15</v>
      </c>
      <c r="C91" t="s">
        <v>16</v>
      </c>
      <c r="D91">
        <v>18</v>
      </c>
      <c r="E91">
        <v>25</v>
      </c>
      <c r="F91">
        <v>12</v>
      </c>
      <c r="G91" t="s">
        <v>9</v>
      </c>
      <c r="H91">
        <v>450</v>
      </c>
      <c r="I91">
        <v>234</v>
      </c>
    </row>
    <row r="92" spans="1:9">
      <c r="A92" s="1">
        <v>46283</v>
      </c>
      <c r="B92" t="s">
        <v>19</v>
      </c>
      <c r="C92" t="s">
        <v>8</v>
      </c>
      <c r="D92">
        <v>9</v>
      </c>
      <c r="E92">
        <v>45</v>
      </c>
      <c r="F92">
        <v>18</v>
      </c>
      <c r="G92" t="s">
        <v>12</v>
      </c>
      <c r="H92">
        <v>405</v>
      </c>
      <c r="I92">
        <v>243</v>
      </c>
    </row>
    <row r="93" spans="1:9">
      <c r="A93" s="1">
        <v>46283</v>
      </c>
      <c r="B93" t="s">
        <v>17</v>
      </c>
      <c r="C93" t="s">
        <v>11</v>
      </c>
      <c r="D93">
        <v>5</v>
      </c>
      <c r="E93">
        <v>90</v>
      </c>
      <c r="F93">
        <v>50</v>
      </c>
      <c r="G93" t="s">
        <v>9</v>
      </c>
      <c r="H93">
        <v>450</v>
      </c>
      <c r="I93">
        <v>200</v>
      </c>
    </row>
    <row r="94" spans="1:9">
      <c r="A94" s="1">
        <v>46284</v>
      </c>
      <c r="B94" t="s">
        <v>14</v>
      </c>
      <c r="C94" t="s">
        <v>8</v>
      </c>
      <c r="D94">
        <v>13</v>
      </c>
      <c r="E94">
        <v>50</v>
      </c>
      <c r="F94">
        <v>20</v>
      </c>
      <c r="G94" t="s">
        <v>9</v>
      </c>
      <c r="H94">
        <v>650</v>
      </c>
      <c r="I94">
        <v>390</v>
      </c>
    </row>
    <row r="95" spans="1:9">
      <c r="A95" s="1">
        <v>46284</v>
      </c>
      <c r="B95" t="s">
        <v>18</v>
      </c>
      <c r="C95" t="s">
        <v>16</v>
      </c>
      <c r="D95">
        <v>9</v>
      </c>
      <c r="E95">
        <v>70</v>
      </c>
      <c r="F95">
        <v>35</v>
      </c>
      <c r="G95" t="s">
        <v>12</v>
      </c>
      <c r="H95">
        <v>630</v>
      </c>
      <c r="I95">
        <v>315</v>
      </c>
    </row>
    <row r="96" spans="1:9">
      <c r="A96" s="1">
        <v>46284</v>
      </c>
      <c r="B96" t="s">
        <v>21</v>
      </c>
      <c r="C96" t="s">
        <v>11</v>
      </c>
      <c r="D96">
        <v>4</v>
      </c>
      <c r="E96">
        <v>100</v>
      </c>
      <c r="F96">
        <v>55</v>
      </c>
      <c r="G96" t="s">
        <v>9</v>
      </c>
      <c r="H96">
        <v>400</v>
      </c>
      <c r="I96">
        <v>180</v>
      </c>
    </row>
    <row r="97" spans="1:9">
      <c r="A97" s="1">
        <v>46284</v>
      </c>
      <c r="B97" t="s">
        <v>20</v>
      </c>
      <c r="C97" t="s">
        <v>16</v>
      </c>
      <c r="D97">
        <v>13</v>
      </c>
      <c r="E97">
        <v>30</v>
      </c>
      <c r="F97">
        <v>15</v>
      </c>
      <c r="G97" t="s">
        <v>9</v>
      </c>
      <c r="H97">
        <v>390</v>
      </c>
      <c r="I97">
        <v>195</v>
      </c>
    </row>
    <row r="98" spans="1:9">
      <c r="A98" s="1">
        <v>46284</v>
      </c>
      <c r="B98" t="s">
        <v>22</v>
      </c>
      <c r="C98" t="s">
        <v>16</v>
      </c>
      <c r="D98">
        <v>12</v>
      </c>
      <c r="E98">
        <v>25</v>
      </c>
      <c r="F98">
        <v>10</v>
      </c>
      <c r="G98" t="s">
        <v>12</v>
      </c>
      <c r="H98">
        <v>300</v>
      </c>
      <c r="I98">
        <v>180</v>
      </c>
    </row>
    <row r="99" spans="1:9">
      <c r="A99" s="1">
        <v>46285</v>
      </c>
      <c r="B99" t="s">
        <v>7</v>
      </c>
      <c r="C99" t="s">
        <v>8</v>
      </c>
      <c r="D99">
        <v>11</v>
      </c>
      <c r="E99">
        <v>80</v>
      </c>
      <c r="F99">
        <v>45</v>
      </c>
      <c r="G99" t="s">
        <v>9</v>
      </c>
      <c r="H99">
        <v>880</v>
      </c>
      <c r="I99">
        <v>385</v>
      </c>
    </row>
    <row r="100" spans="1:9">
      <c r="A100" s="1">
        <v>46285</v>
      </c>
      <c r="B100" t="s">
        <v>13</v>
      </c>
      <c r="C100" t="s">
        <v>11</v>
      </c>
      <c r="D100">
        <v>8</v>
      </c>
      <c r="E100">
        <v>60</v>
      </c>
      <c r="F100">
        <v>32</v>
      </c>
      <c r="G100" t="s">
        <v>9</v>
      </c>
      <c r="H100">
        <v>480</v>
      </c>
      <c r="I100">
        <v>224</v>
      </c>
    </row>
    <row r="101" spans="1:9">
      <c r="A101" s="1">
        <v>46285</v>
      </c>
      <c r="B101" t="s">
        <v>10</v>
      </c>
      <c r="C101" t="s">
        <v>11</v>
      </c>
      <c r="D101">
        <v>7</v>
      </c>
      <c r="E101">
        <v>70</v>
      </c>
      <c r="F101">
        <v>40</v>
      </c>
      <c r="G101" t="s">
        <v>12</v>
      </c>
      <c r="H101">
        <v>490</v>
      </c>
      <c r="I101">
        <v>210</v>
      </c>
    </row>
    <row r="102" spans="1:9">
      <c r="A102" s="1">
        <v>46285</v>
      </c>
      <c r="B102" t="s">
        <v>15</v>
      </c>
      <c r="C102" t="s">
        <v>16</v>
      </c>
      <c r="D102">
        <v>20</v>
      </c>
      <c r="E102">
        <v>25</v>
      </c>
      <c r="F102">
        <v>12</v>
      </c>
      <c r="G102" t="s">
        <v>9</v>
      </c>
      <c r="H102">
        <v>500</v>
      </c>
      <c r="I102">
        <v>260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A66E-E099-468E-B864-0E3A2D2A2DF1}">
  <sheetPr codeName="Sheet2"/>
  <dimension ref="A3:H25"/>
  <sheetViews>
    <sheetView workbookViewId="0">
      <selection activeCell="H25" sqref="H25"/>
    </sheetView>
  </sheetViews>
  <sheetFormatPr defaultRowHeight="14.4"/>
  <cols>
    <col min="1" max="1" width="12.44140625" bestFit="1" customWidth="1"/>
    <col min="2" max="2" width="11.5546875" bestFit="1" customWidth="1"/>
    <col min="4" max="4" width="12.44140625" bestFit="1" customWidth="1"/>
    <col min="5" max="5" width="22.33203125" bestFit="1" customWidth="1"/>
    <col min="7" max="7" width="12.44140625" bestFit="1" customWidth="1"/>
    <col min="8" max="8" width="14.109375" bestFit="1" customWidth="1"/>
  </cols>
  <sheetData>
    <row r="3" spans="1:8">
      <c r="A3" s="5" t="s">
        <v>35</v>
      </c>
      <c r="B3" t="s">
        <v>40</v>
      </c>
      <c r="D3" s="5" t="s">
        <v>35</v>
      </c>
      <c r="E3" t="s">
        <v>39</v>
      </c>
      <c r="G3" s="5" t="s">
        <v>35</v>
      </c>
      <c r="H3" t="s">
        <v>39</v>
      </c>
    </row>
    <row r="4" spans="1:8">
      <c r="A4" s="6" t="s">
        <v>7</v>
      </c>
      <c r="B4">
        <v>2995</v>
      </c>
      <c r="D4" s="6" t="s">
        <v>8</v>
      </c>
      <c r="E4">
        <v>13570</v>
      </c>
      <c r="G4" s="8">
        <v>46266</v>
      </c>
      <c r="H4">
        <v>1010</v>
      </c>
    </row>
    <row r="5" spans="1:8">
      <c r="A5" s="6" t="s">
        <v>22</v>
      </c>
      <c r="B5">
        <v>750</v>
      </c>
      <c r="D5" s="6" t="s">
        <v>11</v>
      </c>
      <c r="E5">
        <v>11830</v>
      </c>
      <c r="G5" s="8">
        <v>46267</v>
      </c>
      <c r="H5">
        <v>1115</v>
      </c>
    </row>
    <row r="6" spans="1:8">
      <c r="A6" s="6" t="s">
        <v>18</v>
      </c>
      <c r="B6">
        <v>1645</v>
      </c>
      <c r="D6" s="6" t="s">
        <v>16</v>
      </c>
      <c r="E6">
        <v>9920</v>
      </c>
      <c r="G6" s="8">
        <v>46268</v>
      </c>
      <c r="H6">
        <v>1015</v>
      </c>
    </row>
    <row r="7" spans="1:8">
      <c r="A7" s="6" t="s">
        <v>19</v>
      </c>
      <c r="B7">
        <v>1350</v>
      </c>
      <c r="D7" s="6" t="s">
        <v>36</v>
      </c>
      <c r="G7" s="8">
        <v>46269</v>
      </c>
      <c r="H7">
        <v>1380</v>
      </c>
    </row>
    <row r="8" spans="1:8">
      <c r="A8" s="6" t="s">
        <v>14</v>
      </c>
      <c r="B8">
        <v>2700</v>
      </c>
      <c r="D8" s="6" t="s">
        <v>37</v>
      </c>
      <c r="E8">
        <v>35320</v>
      </c>
      <c r="G8" s="8">
        <v>46270</v>
      </c>
      <c r="H8">
        <v>1290</v>
      </c>
    </row>
    <row r="9" spans="1:8">
      <c r="A9" s="6" t="s">
        <v>13</v>
      </c>
      <c r="B9">
        <v>1540</v>
      </c>
      <c r="G9" s="8">
        <v>46271</v>
      </c>
      <c r="H9">
        <v>1415</v>
      </c>
    </row>
    <row r="10" spans="1:8">
      <c r="A10" s="6" t="s">
        <v>21</v>
      </c>
      <c r="B10">
        <v>1215</v>
      </c>
      <c r="G10" s="8">
        <v>46272</v>
      </c>
      <c r="H10">
        <v>1710</v>
      </c>
    </row>
    <row r="11" spans="1:8">
      <c r="A11" s="6" t="s">
        <v>15</v>
      </c>
      <c r="B11">
        <v>1612</v>
      </c>
      <c r="D11" s="5" t="s">
        <v>35</v>
      </c>
      <c r="E11" t="s">
        <v>42</v>
      </c>
      <c r="G11" s="8">
        <v>46273</v>
      </c>
      <c r="H11">
        <v>1465</v>
      </c>
    </row>
    <row r="12" spans="1:8">
      <c r="A12" s="6" t="s">
        <v>17</v>
      </c>
      <c r="B12">
        <v>1160</v>
      </c>
      <c r="D12" s="6" t="s">
        <v>12</v>
      </c>
      <c r="E12">
        <v>33</v>
      </c>
      <c r="G12" s="8">
        <v>46274</v>
      </c>
      <c r="H12">
        <v>1670</v>
      </c>
    </row>
    <row r="13" spans="1:8">
      <c r="A13" s="6" t="s">
        <v>20</v>
      </c>
      <c r="B13">
        <v>1140</v>
      </c>
      <c r="D13" s="6" t="s">
        <v>9</v>
      </c>
      <c r="E13">
        <v>66</v>
      </c>
      <c r="G13" s="8">
        <v>46275</v>
      </c>
      <c r="H13">
        <v>1640</v>
      </c>
    </row>
    <row r="14" spans="1:8">
      <c r="A14" s="6" t="s">
        <v>10</v>
      </c>
      <c r="B14">
        <v>1380</v>
      </c>
      <c r="D14" s="6" t="s">
        <v>36</v>
      </c>
      <c r="G14" s="8">
        <v>46276</v>
      </c>
      <c r="H14">
        <v>1900</v>
      </c>
    </row>
    <row r="15" spans="1:8">
      <c r="A15" s="6" t="s">
        <v>36</v>
      </c>
      <c r="D15" s="6" t="s">
        <v>37</v>
      </c>
      <c r="E15">
        <v>99</v>
      </c>
      <c r="G15" s="8">
        <v>46277</v>
      </c>
      <c r="H15">
        <v>2180</v>
      </c>
    </row>
    <row r="16" spans="1:8">
      <c r="A16" s="6" t="s">
        <v>37</v>
      </c>
      <c r="B16">
        <v>17487</v>
      </c>
      <c r="G16" s="8">
        <v>46278</v>
      </c>
      <c r="H16">
        <v>1825</v>
      </c>
    </row>
    <row r="17" spans="7:8">
      <c r="G17" s="8">
        <v>46279</v>
      </c>
      <c r="H17">
        <v>2090</v>
      </c>
    </row>
    <row r="18" spans="7:8">
      <c r="G18" s="8">
        <v>46280</v>
      </c>
      <c r="H18">
        <v>1820</v>
      </c>
    </row>
    <row r="19" spans="7:8">
      <c r="G19" s="8">
        <v>46281</v>
      </c>
      <c r="H19">
        <v>2140</v>
      </c>
    </row>
    <row r="20" spans="7:8">
      <c r="G20" s="8">
        <v>46282</v>
      </c>
      <c r="H20">
        <v>2410</v>
      </c>
    </row>
    <row r="21" spans="7:8">
      <c r="G21" s="8">
        <v>46283</v>
      </c>
      <c r="H21">
        <v>2525</v>
      </c>
    </row>
    <row r="22" spans="7:8">
      <c r="G22" s="8">
        <v>46284</v>
      </c>
      <c r="H22">
        <v>2370</v>
      </c>
    </row>
    <row r="23" spans="7:8">
      <c r="G23" s="8">
        <v>46285</v>
      </c>
      <c r="H23">
        <v>2350</v>
      </c>
    </row>
    <row r="24" spans="7:8">
      <c r="G24" s="6" t="s">
        <v>36</v>
      </c>
    </row>
    <row r="25" spans="7:8">
      <c r="G25" s="6" t="s">
        <v>37</v>
      </c>
      <c r="H25">
        <v>35320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BCDF-0420-453E-B6E7-0AB296F9FD6E}">
  <sheetPr codeName="Sheet3"/>
  <dimension ref="T1:AC6"/>
  <sheetViews>
    <sheetView showGridLines="0" showRowColHeaders="0" tabSelected="1" topLeftCell="I1" zoomScale="38" workbookViewId="0">
      <selection activeCell="AA20" sqref="AA20"/>
    </sheetView>
  </sheetViews>
  <sheetFormatPr defaultRowHeight="14.4"/>
  <cols>
    <col min="13" max="18" width="8.88671875" customWidth="1"/>
    <col min="19" max="19" width="7.21875" customWidth="1"/>
    <col min="20" max="20" width="8.88671875" hidden="1" customWidth="1"/>
    <col min="21" max="21" width="0.109375" hidden="1" customWidth="1"/>
    <col min="22" max="22" width="106" customWidth="1"/>
    <col min="23" max="23" width="41.109375" customWidth="1"/>
    <col min="24" max="24" width="24.77734375" bestFit="1" customWidth="1"/>
    <col min="25" max="25" width="91.44140625" customWidth="1"/>
    <col min="26" max="28" width="45.21875" bestFit="1" customWidth="1"/>
    <col min="29" max="29" width="5.44140625" bestFit="1" customWidth="1"/>
  </cols>
  <sheetData>
    <row r="1" spans="22:29">
      <c r="X1" t="s">
        <v>49</v>
      </c>
      <c r="AA1" t="s">
        <v>49</v>
      </c>
      <c r="AB1" t="s">
        <v>49</v>
      </c>
    </row>
    <row r="2" spans="22:29" ht="58.8">
      <c r="V2" s="19" t="s">
        <v>44</v>
      </c>
      <c r="W2" s="12"/>
    </row>
    <row r="4" spans="22:29" ht="21.6" thickBot="1">
      <c r="V4" s="17" t="s">
        <v>45</v>
      </c>
      <c r="W4" s="11" t="s">
        <v>47</v>
      </c>
      <c r="X4" s="11" t="s">
        <v>48</v>
      </c>
      <c r="Y4" s="11" t="s">
        <v>50</v>
      </c>
      <c r="AB4" s="11"/>
      <c r="AC4" s="10"/>
    </row>
    <row r="5" spans="22:29" ht="18.600000000000001" thickBot="1">
      <c r="V5" s="14">
        <v>35320</v>
      </c>
      <c r="W5" s="14">
        <v>17487</v>
      </c>
      <c r="X5" s="15">
        <f>SUM(DATA!D2:D101)</f>
        <v>679</v>
      </c>
      <c r="Y5" s="16">
        <f>ROWS(DATA!C2:C101)</f>
        <v>100</v>
      </c>
      <c r="AB5" s="18"/>
    </row>
    <row r="6" spans="22:29">
      <c r="AA6" s="13"/>
      <c r="AB6" s="1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EA11-CE6F-40F1-B8B7-34D144A66143}">
  <sheetPr codeName="Sheet4"/>
  <dimension ref="A1:P102"/>
  <sheetViews>
    <sheetView topLeftCell="E1" workbookViewId="0">
      <selection activeCell="L19" sqref="L19"/>
    </sheetView>
  </sheetViews>
  <sheetFormatPr defaultRowHeight="14.4"/>
  <cols>
    <col min="1" max="1" width="12" customWidth="1"/>
    <col min="2" max="2" width="17.6640625" customWidth="1"/>
    <col min="3" max="3" width="12.33203125" customWidth="1"/>
    <col min="4" max="4" width="11.6640625" customWidth="1"/>
    <col min="5" max="5" width="13.5546875" customWidth="1"/>
    <col min="7" max="7" width="15" customWidth="1"/>
    <col min="12" max="12" width="12.44140625" bestFit="1" customWidth="1"/>
    <col min="13" max="13" width="14.21875" bestFit="1" customWidth="1"/>
    <col min="15" max="15" width="12.44140625" bestFit="1" customWidth="1"/>
    <col min="16" max="16" width="14.1093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</v>
      </c>
      <c r="I1" t="s">
        <v>24</v>
      </c>
    </row>
    <row r="3" spans="1:16">
      <c r="A3" s="1">
        <v>46266</v>
      </c>
      <c r="B3" t="s">
        <v>7</v>
      </c>
      <c r="C3" t="s">
        <v>8</v>
      </c>
      <c r="D3">
        <v>2</v>
      </c>
      <c r="E3">
        <v>90</v>
      </c>
      <c r="F3">
        <v>45</v>
      </c>
      <c r="G3" t="s">
        <v>9</v>
      </c>
      <c r="H3">
        <f t="shared" ref="H3:H66" si="0">D3*E3</f>
        <v>180</v>
      </c>
      <c r="I3">
        <f t="shared" ref="I3:I66" si="1">(E3-F3)*D3</f>
        <v>90</v>
      </c>
      <c r="K3" s="7"/>
      <c r="O3" s="5" t="s">
        <v>35</v>
      </c>
      <c r="P3" t="s">
        <v>39</v>
      </c>
    </row>
    <row r="4" spans="1:16">
      <c r="A4" s="1">
        <v>46266</v>
      </c>
      <c r="B4" t="s">
        <v>10</v>
      </c>
      <c r="C4" t="s">
        <v>11</v>
      </c>
      <c r="D4">
        <v>2</v>
      </c>
      <c r="E4">
        <v>70</v>
      </c>
      <c r="F4">
        <v>40</v>
      </c>
      <c r="G4" t="s">
        <v>12</v>
      </c>
      <c r="H4">
        <f t="shared" si="0"/>
        <v>140</v>
      </c>
      <c r="I4">
        <f t="shared" si="1"/>
        <v>60</v>
      </c>
      <c r="O4" s="6" t="s">
        <v>7</v>
      </c>
      <c r="P4">
        <v>6820</v>
      </c>
    </row>
    <row r="5" spans="1:16">
      <c r="A5" s="1">
        <v>46266</v>
      </c>
      <c r="B5" t="s">
        <v>13</v>
      </c>
      <c r="C5" t="s">
        <v>11</v>
      </c>
      <c r="D5">
        <v>4</v>
      </c>
      <c r="E5">
        <v>60</v>
      </c>
      <c r="F5">
        <v>32</v>
      </c>
      <c r="G5" t="s">
        <v>9</v>
      </c>
      <c r="H5">
        <f t="shared" si="0"/>
        <v>240</v>
      </c>
      <c r="I5">
        <f t="shared" si="1"/>
        <v>112</v>
      </c>
      <c r="O5" s="6" t="s">
        <v>22</v>
      </c>
      <c r="P5">
        <v>1250</v>
      </c>
    </row>
    <row r="6" spans="1:16">
      <c r="A6" s="1">
        <v>46266</v>
      </c>
      <c r="B6" t="s">
        <v>14</v>
      </c>
      <c r="C6" t="s">
        <v>8</v>
      </c>
      <c r="D6">
        <v>5</v>
      </c>
      <c r="E6">
        <v>50</v>
      </c>
      <c r="F6">
        <v>20</v>
      </c>
      <c r="G6" t="s">
        <v>9</v>
      </c>
      <c r="H6">
        <f t="shared" si="0"/>
        <v>250</v>
      </c>
      <c r="I6">
        <f t="shared" si="1"/>
        <v>150</v>
      </c>
      <c r="O6" s="6" t="s">
        <v>18</v>
      </c>
      <c r="P6">
        <v>3290</v>
      </c>
    </row>
    <row r="7" spans="1:16">
      <c r="A7" s="1">
        <v>46266</v>
      </c>
      <c r="B7" t="s">
        <v>15</v>
      </c>
      <c r="C7" t="s">
        <v>16</v>
      </c>
      <c r="D7">
        <v>8</v>
      </c>
      <c r="E7">
        <v>25</v>
      </c>
      <c r="F7">
        <v>12</v>
      </c>
      <c r="G7" t="s">
        <v>12</v>
      </c>
      <c r="H7">
        <f t="shared" si="0"/>
        <v>200</v>
      </c>
      <c r="I7">
        <f t="shared" si="1"/>
        <v>104</v>
      </c>
      <c r="O7" s="6" t="s">
        <v>19</v>
      </c>
      <c r="P7">
        <v>2250</v>
      </c>
    </row>
    <row r="8" spans="1:16">
      <c r="A8" s="1">
        <v>46267</v>
      </c>
      <c r="B8" t="s">
        <v>7</v>
      </c>
      <c r="C8" t="s">
        <v>8</v>
      </c>
      <c r="D8">
        <v>4</v>
      </c>
      <c r="E8">
        <v>80</v>
      </c>
      <c r="F8">
        <v>45</v>
      </c>
      <c r="G8" t="s">
        <v>9</v>
      </c>
      <c r="H8">
        <f t="shared" si="0"/>
        <v>320</v>
      </c>
      <c r="I8">
        <f t="shared" si="1"/>
        <v>140</v>
      </c>
      <c r="O8" s="6" t="s">
        <v>14</v>
      </c>
      <c r="P8">
        <v>4500</v>
      </c>
    </row>
    <row r="9" spans="1:16">
      <c r="A9" s="1">
        <v>46267</v>
      </c>
      <c r="B9" t="s">
        <v>17</v>
      </c>
      <c r="C9" t="s">
        <v>11</v>
      </c>
      <c r="D9">
        <v>2</v>
      </c>
      <c r="E9">
        <v>90</v>
      </c>
      <c r="F9">
        <v>50</v>
      </c>
      <c r="G9" t="s">
        <v>9</v>
      </c>
      <c r="H9">
        <f t="shared" si="0"/>
        <v>180</v>
      </c>
      <c r="I9">
        <f t="shared" si="1"/>
        <v>80</v>
      </c>
      <c r="O9" s="6" t="s">
        <v>13</v>
      </c>
      <c r="P9">
        <v>3300</v>
      </c>
    </row>
    <row r="10" spans="1:16">
      <c r="A10" s="1">
        <v>46267</v>
      </c>
      <c r="B10" t="s">
        <v>18</v>
      </c>
      <c r="C10" t="s">
        <v>16</v>
      </c>
      <c r="D10">
        <v>3</v>
      </c>
      <c r="E10">
        <v>70</v>
      </c>
      <c r="F10">
        <v>35</v>
      </c>
      <c r="G10" t="s">
        <v>12</v>
      </c>
      <c r="H10">
        <f t="shared" si="0"/>
        <v>210</v>
      </c>
      <c r="I10">
        <f t="shared" si="1"/>
        <v>105</v>
      </c>
      <c r="O10" s="6" t="s">
        <v>21</v>
      </c>
      <c r="P10">
        <v>2700</v>
      </c>
    </row>
    <row r="11" spans="1:16">
      <c r="A11" s="1">
        <v>46267</v>
      </c>
      <c r="B11" t="s">
        <v>19</v>
      </c>
      <c r="C11" t="s">
        <v>8</v>
      </c>
      <c r="D11">
        <v>5</v>
      </c>
      <c r="E11">
        <v>45</v>
      </c>
      <c r="F11">
        <v>18</v>
      </c>
      <c r="G11" t="s">
        <v>9</v>
      </c>
      <c r="H11">
        <f t="shared" si="0"/>
        <v>225</v>
      </c>
      <c r="I11">
        <f t="shared" si="1"/>
        <v>135</v>
      </c>
      <c r="O11" s="6" t="s">
        <v>15</v>
      </c>
      <c r="P11">
        <v>3100</v>
      </c>
    </row>
    <row r="12" spans="1:16">
      <c r="A12" s="1">
        <v>46267</v>
      </c>
      <c r="B12" t="s">
        <v>20</v>
      </c>
      <c r="C12" t="s">
        <v>16</v>
      </c>
      <c r="D12">
        <v>6</v>
      </c>
      <c r="E12">
        <v>30</v>
      </c>
      <c r="F12">
        <v>15</v>
      </c>
      <c r="G12" t="s">
        <v>12</v>
      </c>
      <c r="H12">
        <f t="shared" si="0"/>
        <v>180</v>
      </c>
      <c r="I12">
        <f t="shared" si="1"/>
        <v>90</v>
      </c>
      <c r="O12" s="6" t="s">
        <v>17</v>
      </c>
      <c r="P12">
        <v>2610</v>
      </c>
    </row>
    <row r="13" spans="1:16">
      <c r="A13" s="1">
        <v>46268</v>
      </c>
      <c r="B13" t="s">
        <v>13</v>
      </c>
      <c r="C13" t="s">
        <v>11</v>
      </c>
      <c r="D13">
        <v>3</v>
      </c>
      <c r="E13">
        <v>60</v>
      </c>
      <c r="F13">
        <v>32</v>
      </c>
      <c r="G13" t="s">
        <v>9</v>
      </c>
      <c r="H13">
        <f t="shared" si="0"/>
        <v>180</v>
      </c>
      <c r="I13">
        <f t="shared" si="1"/>
        <v>84</v>
      </c>
      <c r="O13" s="6" t="s">
        <v>20</v>
      </c>
      <c r="P13">
        <v>2280</v>
      </c>
    </row>
    <row r="14" spans="1:16">
      <c r="A14" s="1">
        <v>46268</v>
      </c>
      <c r="B14" t="s">
        <v>7</v>
      </c>
      <c r="C14" t="s">
        <v>8</v>
      </c>
      <c r="D14">
        <v>2</v>
      </c>
      <c r="E14">
        <v>80</v>
      </c>
      <c r="F14">
        <v>45</v>
      </c>
      <c r="G14" t="s">
        <v>12</v>
      </c>
      <c r="H14">
        <f t="shared" si="0"/>
        <v>160</v>
      </c>
      <c r="I14">
        <f t="shared" si="1"/>
        <v>70</v>
      </c>
      <c r="O14" s="6" t="s">
        <v>10</v>
      </c>
      <c r="P14">
        <v>3220</v>
      </c>
    </row>
    <row r="15" spans="1:16">
      <c r="A15" s="1">
        <v>46268</v>
      </c>
      <c r="B15" t="s">
        <v>21</v>
      </c>
      <c r="C15" t="s">
        <v>11</v>
      </c>
      <c r="D15">
        <v>2</v>
      </c>
      <c r="E15">
        <v>100</v>
      </c>
      <c r="F15">
        <v>55</v>
      </c>
      <c r="G15" t="s">
        <v>9</v>
      </c>
      <c r="H15">
        <f t="shared" si="0"/>
        <v>200</v>
      </c>
      <c r="I15">
        <f t="shared" si="1"/>
        <v>90</v>
      </c>
      <c r="O15" s="6" t="s">
        <v>36</v>
      </c>
    </row>
    <row r="16" spans="1:16">
      <c r="A16" s="1">
        <v>46268</v>
      </c>
      <c r="B16" t="s">
        <v>14</v>
      </c>
      <c r="C16" t="s">
        <v>8</v>
      </c>
      <c r="D16">
        <v>7</v>
      </c>
      <c r="E16">
        <v>50</v>
      </c>
      <c r="F16">
        <v>20</v>
      </c>
      <c r="G16" t="s">
        <v>9</v>
      </c>
      <c r="H16">
        <f t="shared" si="0"/>
        <v>350</v>
      </c>
      <c r="I16">
        <f t="shared" si="1"/>
        <v>210</v>
      </c>
      <c r="O16" s="6" t="s">
        <v>37</v>
      </c>
      <c r="P16">
        <v>35320</v>
      </c>
    </row>
    <row r="17" spans="1:13">
      <c r="A17" s="1">
        <v>46268</v>
      </c>
      <c r="B17" t="s">
        <v>22</v>
      </c>
      <c r="C17" t="s">
        <v>16</v>
      </c>
      <c r="D17">
        <v>5</v>
      </c>
      <c r="E17">
        <v>25</v>
      </c>
      <c r="F17">
        <v>10</v>
      </c>
      <c r="G17" t="s">
        <v>12</v>
      </c>
      <c r="H17">
        <f t="shared" si="0"/>
        <v>125</v>
      </c>
      <c r="I17">
        <f t="shared" si="1"/>
        <v>75</v>
      </c>
    </row>
    <row r="18" spans="1:13">
      <c r="A18" s="1">
        <v>46269</v>
      </c>
      <c r="B18" t="s">
        <v>10</v>
      </c>
      <c r="C18" t="s">
        <v>11</v>
      </c>
      <c r="D18">
        <v>4</v>
      </c>
      <c r="E18">
        <v>70</v>
      </c>
      <c r="F18">
        <v>40</v>
      </c>
      <c r="G18" t="s">
        <v>9</v>
      </c>
      <c r="H18">
        <f t="shared" si="0"/>
        <v>280</v>
      </c>
      <c r="I18">
        <f t="shared" si="1"/>
        <v>120</v>
      </c>
    </row>
    <row r="19" spans="1:13">
      <c r="A19" s="1">
        <v>46269</v>
      </c>
      <c r="B19" t="s">
        <v>7</v>
      </c>
      <c r="C19" t="s">
        <v>8</v>
      </c>
      <c r="D19">
        <v>5</v>
      </c>
      <c r="E19">
        <v>80</v>
      </c>
      <c r="F19">
        <v>45</v>
      </c>
      <c r="G19" t="s">
        <v>9</v>
      </c>
      <c r="H19">
        <f t="shared" si="0"/>
        <v>400</v>
      </c>
      <c r="I19">
        <f t="shared" si="1"/>
        <v>175</v>
      </c>
      <c r="L19" s="5" t="s">
        <v>35</v>
      </c>
      <c r="M19" t="s">
        <v>38</v>
      </c>
    </row>
    <row r="20" spans="1:13">
      <c r="A20" s="1">
        <v>46269</v>
      </c>
      <c r="B20" t="s">
        <v>15</v>
      </c>
      <c r="C20" t="s">
        <v>16</v>
      </c>
      <c r="D20">
        <v>10</v>
      </c>
      <c r="E20">
        <v>25</v>
      </c>
      <c r="F20">
        <v>12</v>
      </c>
      <c r="G20" t="s">
        <v>12</v>
      </c>
      <c r="H20">
        <f t="shared" si="0"/>
        <v>250</v>
      </c>
      <c r="I20">
        <f t="shared" si="1"/>
        <v>130</v>
      </c>
      <c r="L20" s="6" t="s">
        <v>7</v>
      </c>
      <c r="M20">
        <v>85</v>
      </c>
    </row>
    <row r="21" spans="1:13">
      <c r="A21" s="1">
        <v>46269</v>
      </c>
      <c r="B21" t="s">
        <v>17</v>
      </c>
      <c r="C21" t="s">
        <v>11</v>
      </c>
      <c r="D21">
        <v>3</v>
      </c>
      <c r="E21">
        <v>90</v>
      </c>
      <c r="F21">
        <v>50</v>
      </c>
      <c r="G21" t="s">
        <v>9</v>
      </c>
      <c r="H21">
        <f t="shared" si="0"/>
        <v>270</v>
      </c>
      <c r="I21">
        <f t="shared" si="1"/>
        <v>120</v>
      </c>
      <c r="L21" s="6" t="s">
        <v>22</v>
      </c>
      <c r="M21">
        <v>50</v>
      </c>
    </row>
    <row r="22" spans="1:13">
      <c r="A22" s="1">
        <v>46269</v>
      </c>
      <c r="B22" t="s">
        <v>19</v>
      </c>
      <c r="C22" t="s">
        <v>8</v>
      </c>
      <c r="D22">
        <v>4</v>
      </c>
      <c r="E22">
        <v>45</v>
      </c>
      <c r="F22">
        <v>18</v>
      </c>
      <c r="G22" t="s">
        <v>12</v>
      </c>
      <c r="H22">
        <f t="shared" si="0"/>
        <v>180</v>
      </c>
      <c r="I22">
        <f t="shared" si="1"/>
        <v>108</v>
      </c>
      <c r="L22" s="6" t="s">
        <v>18</v>
      </c>
      <c r="M22">
        <v>47</v>
      </c>
    </row>
    <row r="23" spans="1:13">
      <c r="A23" s="1">
        <v>46270</v>
      </c>
      <c r="B23" t="s">
        <v>18</v>
      </c>
      <c r="C23" t="s">
        <v>16</v>
      </c>
      <c r="D23">
        <v>4</v>
      </c>
      <c r="E23">
        <v>70</v>
      </c>
      <c r="F23">
        <v>35</v>
      </c>
      <c r="G23" t="s">
        <v>9</v>
      </c>
      <c r="H23">
        <f t="shared" si="0"/>
        <v>280</v>
      </c>
      <c r="I23">
        <f t="shared" si="1"/>
        <v>140</v>
      </c>
      <c r="L23" s="6" t="s">
        <v>19</v>
      </c>
      <c r="M23">
        <v>50</v>
      </c>
    </row>
    <row r="24" spans="1:13">
      <c r="A24" s="1">
        <v>46270</v>
      </c>
      <c r="B24" t="s">
        <v>13</v>
      </c>
      <c r="C24" t="s">
        <v>11</v>
      </c>
      <c r="D24">
        <v>5</v>
      </c>
      <c r="E24">
        <v>60</v>
      </c>
      <c r="F24">
        <v>32</v>
      </c>
      <c r="G24" t="s">
        <v>9</v>
      </c>
      <c r="H24">
        <f t="shared" si="0"/>
        <v>300</v>
      </c>
      <c r="I24">
        <f t="shared" si="1"/>
        <v>140</v>
      </c>
      <c r="L24" s="6" t="s">
        <v>14</v>
      </c>
      <c r="M24">
        <v>90</v>
      </c>
    </row>
    <row r="25" spans="1:13">
      <c r="A25" s="1">
        <v>46270</v>
      </c>
      <c r="B25" t="s">
        <v>14</v>
      </c>
      <c r="C25" t="s">
        <v>8</v>
      </c>
      <c r="D25">
        <v>6</v>
      </c>
      <c r="E25">
        <v>50</v>
      </c>
      <c r="F25">
        <v>20</v>
      </c>
      <c r="G25" t="s">
        <v>12</v>
      </c>
      <c r="H25">
        <f t="shared" si="0"/>
        <v>300</v>
      </c>
      <c r="I25">
        <f t="shared" si="1"/>
        <v>180</v>
      </c>
      <c r="L25" s="6" t="s">
        <v>13</v>
      </c>
      <c r="M25">
        <v>55</v>
      </c>
    </row>
    <row r="26" spans="1:13">
      <c r="A26" s="1">
        <v>46270</v>
      </c>
      <c r="B26" t="s">
        <v>20</v>
      </c>
      <c r="C26" t="s">
        <v>16</v>
      </c>
      <c r="D26">
        <v>7</v>
      </c>
      <c r="E26">
        <v>30</v>
      </c>
      <c r="F26">
        <v>15</v>
      </c>
      <c r="G26" t="s">
        <v>9</v>
      </c>
      <c r="H26">
        <f t="shared" si="0"/>
        <v>210</v>
      </c>
      <c r="I26">
        <f t="shared" si="1"/>
        <v>105</v>
      </c>
      <c r="L26" s="6" t="s">
        <v>21</v>
      </c>
      <c r="M26">
        <v>27</v>
      </c>
    </row>
    <row r="27" spans="1:13">
      <c r="A27" s="1">
        <v>46270</v>
      </c>
      <c r="B27" t="s">
        <v>21</v>
      </c>
      <c r="C27" t="s">
        <v>11</v>
      </c>
      <c r="D27">
        <v>2</v>
      </c>
      <c r="E27">
        <v>100</v>
      </c>
      <c r="F27">
        <v>55</v>
      </c>
      <c r="G27" t="s">
        <v>9</v>
      </c>
      <c r="H27">
        <f t="shared" si="0"/>
        <v>200</v>
      </c>
      <c r="I27">
        <f t="shared" si="1"/>
        <v>90</v>
      </c>
      <c r="L27" s="6" t="s">
        <v>15</v>
      </c>
      <c r="M27">
        <v>124</v>
      </c>
    </row>
    <row r="28" spans="1:13">
      <c r="A28" s="1">
        <v>46271</v>
      </c>
      <c r="B28" t="s">
        <v>7</v>
      </c>
      <c r="C28" t="s">
        <v>8</v>
      </c>
      <c r="D28">
        <v>6</v>
      </c>
      <c r="E28">
        <v>80</v>
      </c>
      <c r="F28">
        <v>45</v>
      </c>
      <c r="G28" t="s">
        <v>9</v>
      </c>
      <c r="H28">
        <f t="shared" si="0"/>
        <v>480</v>
      </c>
      <c r="I28">
        <f t="shared" si="1"/>
        <v>210</v>
      </c>
      <c r="L28" s="6" t="s">
        <v>17</v>
      </c>
      <c r="M28">
        <v>29</v>
      </c>
    </row>
    <row r="29" spans="1:13">
      <c r="A29" s="1">
        <v>46271</v>
      </c>
      <c r="B29" t="s">
        <v>10</v>
      </c>
      <c r="C29" t="s">
        <v>11</v>
      </c>
      <c r="D29">
        <v>3</v>
      </c>
      <c r="E29">
        <v>70</v>
      </c>
      <c r="F29">
        <v>40</v>
      </c>
      <c r="G29" t="s">
        <v>12</v>
      </c>
      <c r="H29">
        <f t="shared" si="0"/>
        <v>210</v>
      </c>
      <c r="I29">
        <f t="shared" si="1"/>
        <v>90</v>
      </c>
      <c r="L29" s="6" t="s">
        <v>20</v>
      </c>
      <c r="M29">
        <v>76</v>
      </c>
    </row>
    <row r="30" spans="1:13">
      <c r="A30" s="1">
        <v>46271</v>
      </c>
      <c r="B30" t="s">
        <v>15</v>
      </c>
      <c r="C30" t="s">
        <v>16</v>
      </c>
      <c r="D30">
        <v>12</v>
      </c>
      <c r="E30">
        <v>25</v>
      </c>
      <c r="F30">
        <v>12</v>
      </c>
      <c r="G30" t="s">
        <v>9</v>
      </c>
      <c r="H30">
        <f t="shared" si="0"/>
        <v>300</v>
      </c>
      <c r="I30">
        <f t="shared" si="1"/>
        <v>156</v>
      </c>
      <c r="L30" s="6" t="s">
        <v>10</v>
      </c>
      <c r="M30">
        <v>46</v>
      </c>
    </row>
    <row r="31" spans="1:13">
      <c r="A31" s="1">
        <v>46271</v>
      </c>
      <c r="B31" t="s">
        <v>19</v>
      </c>
      <c r="C31" t="s">
        <v>8</v>
      </c>
      <c r="D31">
        <v>5</v>
      </c>
      <c r="E31">
        <v>45</v>
      </c>
      <c r="F31">
        <v>18</v>
      </c>
      <c r="G31" t="s">
        <v>9</v>
      </c>
      <c r="H31">
        <f t="shared" si="0"/>
        <v>225</v>
      </c>
      <c r="I31">
        <f t="shared" si="1"/>
        <v>135</v>
      </c>
      <c r="L31" s="6" t="s">
        <v>36</v>
      </c>
    </row>
    <row r="32" spans="1:13">
      <c r="A32" s="1">
        <v>46271</v>
      </c>
      <c r="B32" t="s">
        <v>22</v>
      </c>
      <c r="C32" t="s">
        <v>16</v>
      </c>
      <c r="D32">
        <v>8</v>
      </c>
      <c r="E32">
        <v>25</v>
      </c>
      <c r="F32">
        <v>10</v>
      </c>
      <c r="G32" t="s">
        <v>12</v>
      </c>
      <c r="H32">
        <f t="shared" si="0"/>
        <v>200</v>
      </c>
      <c r="I32">
        <f t="shared" si="1"/>
        <v>120</v>
      </c>
      <c r="L32" s="6" t="s">
        <v>37</v>
      </c>
      <c r="M32">
        <v>679</v>
      </c>
    </row>
    <row r="33" spans="1:9">
      <c r="A33" s="1">
        <v>46272</v>
      </c>
      <c r="B33" t="s">
        <v>17</v>
      </c>
      <c r="C33" t="s">
        <v>11</v>
      </c>
      <c r="D33">
        <v>4</v>
      </c>
      <c r="E33">
        <v>90</v>
      </c>
      <c r="F33">
        <v>50</v>
      </c>
      <c r="G33" t="s">
        <v>9</v>
      </c>
      <c r="H33">
        <f t="shared" si="0"/>
        <v>360</v>
      </c>
      <c r="I33">
        <f t="shared" si="1"/>
        <v>160</v>
      </c>
    </row>
    <row r="34" spans="1:9">
      <c r="A34" s="1">
        <v>46272</v>
      </c>
      <c r="B34" t="s">
        <v>13</v>
      </c>
      <c r="C34" t="s">
        <v>11</v>
      </c>
      <c r="D34">
        <v>6</v>
      </c>
      <c r="E34">
        <v>60</v>
      </c>
      <c r="F34">
        <v>32</v>
      </c>
      <c r="G34" t="s">
        <v>9</v>
      </c>
      <c r="H34">
        <f t="shared" si="0"/>
        <v>360</v>
      </c>
      <c r="I34">
        <f t="shared" si="1"/>
        <v>168</v>
      </c>
    </row>
    <row r="35" spans="1:9">
      <c r="A35" s="1">
        <v>46272</v>
      </c>
      <c r="B35" t="s">
        <v>14</v>
      </c>
      <c r="C35" t="s">
        <v>8</v>
      </c>
      <c r="D35">
        <v>8</v>
      </c>
      <c r="E35">
        <v>50</v>
      </c>
      <c r="F35">
        <v>20</v>
      </c>
      <c r="G35" t="s">
        <v>12</v>
      </c>
      <c r="H35">
        <f t="shared" si="0"/>
        <v>400</v>
      </c>
      <c r="I35">
        <f t="shared" si="1"/>
        <v>240</v>
      </c>
    </row>
    <row r="36" spans="1:9">
      <c r="A36" s="1">
        <v>46272</v>
      </c>
      <c r="B36" t="s">
        <v>18</v>
      </c>
      <c r="C36" t="s">
        <v>16</v>
      </c>
      <c r="D36">
        <v>5</v>
      </c>
      <c r="E36">
        <v>70</v>
      </c>
      <c r="F36">
        <v>35</v>
      </c>
      <c r="G36" t="s">
        <v>9</v>
      </c>
      <c r="H36">
        <f t="shared" si="0"/>
        <v>350</v>
      </c>
      <c r="I36">
        <f t="shared" si="1"/>
        <v>175</v>
      </c>
    </row>
    <row r="37" spans="1:9">
      <c r="A37" s="1">
        <v>46272</v>
      </c>
      <c r="B37" t="s">
        <v>7</v>
      </c>
      <c r="C37" t="s">
        <v>8</v>
      </c>
      <c r="D37">
        <v>3</v>
      </c>
      <c r="E37">
        <v>80</v>
      </c>
      <c r="F37">
        <v>45</v>
      </c>
      <c r="G37" t="s">
        <v>9</v>
      </c>
      <c r="H37">
        <f t="shared" si="0"/>
        <v>240</v>
      </c>
      <c r="I37">
        <f t="shared" si="1"/>
        <v>105</v>
      </c>
    </row>
    <row r="38" spans="1:9">
      <c r="A38" s="1">
        <v>46273</v>
      </c>
      <c r="B38" t="s">
        <v>20</v>
      </c>
      <c r="C38" t="s">
        <v>16</v>
      </c>
      <c r="D38">
        <v>9</v>
      </c>
      <c r="E38">
        <v>30</v>
      </c>
      <c r="F38">
        <v>15</v>
      </c>
      <c r="G38" t="s">
        <v>12</v>
      </c>
      <c r="H38">
        <f t="shared" si="0"/>
        <v>270</v>
      </c>
      <c r="I38">
        <f t="shared" si="1"/>
        <v>135</v>
      </c>
    </row>
    <row r="39" spans="1:9">
      <c r="A39" s="1">
        <v>46273</v>
      </c>
      <c r="B39" t="s">
        <v>21</v>
      </c>
      <c r="C39" t="s">
        <v>11</v>
      </c>
      <c r="D39">
        <v>3</v>
      </c>
      <c r="E39">
        <v>100</v>
      </c>
      <c r="F39">
        <v>55</v>
      </c>
      <c r="G39" t="s">
        <v>9</v>
      </c>
      <c r="H39">
        <f t="shared" si="0"/>
        <v>300</v>
      </c>
      <c r="I39">
        <f t="shared" si="1"/>
        <v>135</v>
      </c>
    </row>
    <row r="40" spans="1:9">
      <c r="A40" s="1">
        <v>46273</v>
      </c>
      <c r="B40" t="s">
        <v>10</v>
      </c>
      <c r="C40" t="s">
        <v>11</v>
      </c>
      <c r="D40">
        <v>5</v>
      </c>
      <c r="E40">
        <v>70</v>
      </c>
      <c r="F40">
        <v>40</v>
      </c>
      <c r="G40" t="s">
        <v>9</v>
      </c>
      <c r="H40">
        <f t="shared" si="0"/>
        <v>350</v>
      </c>
      <c r="I40">
        <f t="shared" si="1"/>
        <v>150</v>
      </c>
    </row>
    <row r="41" spans="1:9">
      <c r="A41" s="1">
        <v>46273</v>
      </c>
      <c r="B41" t="s">
        <v>19</v>
      </c>
      <c r="C41" t="s">
        <v>8</v>
      </c>
      <c r="D41">
        <v>6</v>
      </c>
      <c r="E41">
        <v>45</v>
      </c>
      <c r="F41">
        <v>18</v>
      </c>
      <c r="G41" t="s">
        <v>12</v>
      </c>
      <c r="H41">
        <f t="shared" si="0"/>
        <v>270</v>
      </c>
      <c r="I41">
        <f t="shared" si="1"/>
        <v>162</v>
      </c>
    </row>
    <row r="42" spans="1:9">
      <c r="A42" s="1">
        <v>46273</v>
      </c>
      <c r="B42" t="s">
        <v>15</v>
      </c>
      <c r="C42" t="s">
        <v>16</v>
      </c>
      <c r="D42">
        <v>11</v>
      </c>
      <c r="E42">
        <v>25</v>
      </c>
      <c r="F42">
        <v>12</v>
      </c>
      <c r="G42" t="s">
        <v>9</v>
      </c>
      <c r="H42">
        <f t="shared" si="0"/>
        <v>275</v>
      </c>
      <c r="I42">
        <f t="shared" si="1"/>
        <v>143</v>
      </c>
    </row>
    <row r="43" spans="1:9">
      <c r="A43" s="1">
        <v>46274</v>
      </c>
      <c r="B43" t="s">
        <v>7</v>
      </c>
      <c r="C43" t="s">
        <v>8</v>
      </c>
      <c r="D43">
        <v>7</v>
      </c>
      <c r="E43">
        <v>80</v>
      </c>
      <c r="F43">
        <v>45</v>
      </c>
      <c r="G43" t="s">
        <v>9</v>
      </c>
      <c r="H43">
        <f t="shared" si="0"/>
        <v>560</v>
      </c>
      <c r="I43">
        <f t="shared" si="1"/>
        <v>245</v>
      </c>
    </row>
    <row r="44" spans="1:9">
      <c r="A44" s="1">
        <v>46274</v>
      </c>
      <c r="B44" t="s">
        <v>13</v>
      </c>
      <c r="C44" t="s">
        <v>11</v>
      </c>
      <c r="D44">
        <v>4</v>
      </c>
      <c r="E44">
        <v>60</v>
      </c>
      <c r="F44">
        <v>32</v>
      </c>
      <c r="G44" t="s">
        <v>12</v>
      </c>
      <c r="H44">
        <f t="shared" si="0"/>
        <v>240</v>
      </c>
      <c r="I44">
        <f t="shared" si="1"/>
        <v>112</v>
      </c>
    </row>
    <row r="45" spans="1:9">
      <c r="A45" s="1">
        <v>46274</v>
      </c>
      <c r="B45" t="s">
        <v>17</v>
      </c>
      <c r="C45" t="s">
        <v>11</v>
      </c>
      <c r="D45">
        <v>3</v>
      </c>
      <c r="E45">
        <v>90</v>
      </c>
      <c r="F45">
        <v>50</v>
      </c>
      <c r="G45" t="s">
        <v>9</v>
      </c>
      <c r="H45">
        <f t="shared" si="0"/>
        <v>270</v>
      </c>
      <c r="I45">
        <f t="shared" si="1"/>
        <v>120</v>
      </c>
    </row>
    <row r="46" spans="1:9">
      <c r="A46" s="1">
        <v>46274</v>
      </c>
      <c r="B46" t="s">
        <v>14</v>
      </c>
      <c r="C46" t="s">
        <v>8</v>
      </c>
      <c r="D46">
        <v>9</v>
      </c>
      <c r="E46">
        <v>50</v>
      </c>
      <c r="F46">
        <v>20</v>
      </c>
      <c r="G46" t="s">
        <v>9</v>
      </c>
      <c r="H46">
        <f t="shared" si="0"/>
        <v>450</v>
      </c>
      <c r="I46">
        <f t="shared" si="1"/>
        <v>270</v>
      </c>
    </row>
    <row r="47" spans="1:9">
      <c r="A47" s="1">
        <v>46274</v>
      </c>
      <c r="B47" t="s">
        <v>22</v>
      </c>
      <c r="C47" t="s">
        <v>16</v>
      </c>
      <c r="D47">
        <v>6</v>
      </c>
      <c r="E47">
        <v>25</v>
      </c>
      <c r="F47">
        <v>10</v>
      </c>
      <c r="G47" t="s">
        <v>12</v>
      </c>
      <c r="H47">
        <f t="shared" si="0"/>
        <v>150</v>
      </c>
      <c r="I47">
        <f t="shared" si="1"/>
        <v>90</v>
      </c>
    </row>
    <row r="48" spans="1:9">
      <c r="A48" s="1">
        <v>46275</v>
      </c>
      <c r="B48" t="s">
        <v>18</v>
      </c>
      <c r="C48" t="s">
        <v>16</v>
      </c>
      <c r="D48">
        <v>6</v>
      </c>
      <c r="E48">
        <v>70</v>
      </c>
      <c r="F48">
        <v>35</v>
      </c>
      <c r="G48" t="s">
        <v>9</v>
      </c>
      <c r="H48">
        <f t="shared" si="0"/>
        <v>420</v>
      </c>
      <c r="I48">
        <f t="shared" si="1"/>
        <v>210</v>
      </c>
    </row>
    <row r="49" spans="1:9">
      <c r="A49" s="1">
        <v>46275</v>
      </c>
      <c r="B49" t="s">
        <v>10</v>
      </c>
      <c r="C49" t="s">
        <v>11</v>
      </c>
      <c r="D49">
        <v>4</v>
      </c>
      <c r="E49">
        <v>70</v>
      </c>
      <c r="F49">
        <v>40</v>
      </c>
      <c r="G49" t="s">
        <v>9</v>
      </c>
      <c r="H49">
        <f t="shared" si="0"/>
        <v>280</v>
      </c>
      <c r="I49">
        <f t="shared" si="1"/>
        <v>120</v>
      </c>
    </row>
    <row r="50" spans="1:9">
      <c r="A50" s="1">
        <v>46275</v>
      </c>
      <c r="B50" t="s">
        <v>7</v>
      </c>
      <c r="C50" t="s">
        <v>8</v>
      </c>
      <c r="D50">
        <v>5</v>
      </c>
      <c r="E50">
        <v>80</v>
      </c>
      <c r="F50">
        <v>45</v>
      </c>
      <c r="G50" t="s">
        <v>12</v>
      </c>
      <c r="H50">
        <f t="shared" si="0"/>
        <v>400</v>
      </c>
      <c r="I50">
        <f t="shared" si="1"/>
        <v>175</v>
      </c>
    </row>
    <row r="51" spans="1:9">
      <c r="A51" s="1">
        <v>46275</v>
      </c>
      <c r="B51" t="s">
        <v>20</v>
      </c>
      <c r="C51" t="s">
        <v>16</v>
      </c>
      <c r="D51">
        <v>8</v>
      </c>
      <c r="E51">
        <v>30</v>
      </c>
      <c r="F51">
        <v>15</v>
      </c>
      <c r="G51" t="s">
        <v>9</v>
      </c>
      <c r="H51">
        <f t="shared" si="0"/>
        <v>240</v>
      </c>
      <c r="I51">
        <f t="shared" si="1"/>
        <v>120</v>
      </c>
    </row>
    <row r="52" spans="1:9">
      <c r="A52" s="1">
        <v>46275</v>
      </c>
      <c r="B52" t="s">
        <v>21</v>
      </c>
      <c r="C52" t="s">
        <v>11</v>
      </c>
      <c r="D52">
        <v>3</v>
      </c>
      <c r="E52">
        <v>100</v>
      </c>
      <c r="F52">
        <v>55</v>
      </c>
      <c r="G52" t="s">
        <v>9</v>
      </c>
      <c r="H52">
        <f t="shared" si="0"/>
        <v>300</v>
      </c>
      <c r="I52">
        <f t="shared" si="1"/>
        <v>135</v>
      </c>
    </row>
    <row r="53" spans="1:9">
      <c r="A53" s="1">
        <v>46276</v>
      </c>
      <c r="B53" t="s">
        <v>13</v>
      </c>
      <c r="C53" t="s">
        <v>11</v>
      </c>
      <c r="D53">
        <v>7</v>
      </c>
      <c r="E53">
        <v>60</v>
      </c>
      <c r="F53">
        <v>32</v>
      </c>
      <c r="G53" t="s">
        <v>9</v>
      </c>
      <c r="H53">
        <f t="shared" si="0"/>
        <v>420</v>
      </c>
      <c r="I53">
        <f t="shared" si="1"/>
        <v>196</v>
      </c>
    </row>
    <row r="54" spans="1:9">
      <c r="A54" s="1">
        <v>46276</v>
      </c>
      <c r="B54" t="s">
        <v>14</v>
      </c>
      <c r="C54" t="s">
        <v>8</v>
      </c>
      <c r="D54">
        <v>10</v>
      </c>
      <c r="E54">
        <v>50</v>
      </c>
      <c r="F54">
        <v>20</v>
      </c>
      <c r="G54" t="s">
        <v>12</v>
      </c>
      <c r="H54">
        <f t="shared" si="0"/>
        <v>500</v>
      </c>
      <c r="I54">
        <f t="shared" si="1"/>
        <v>300</v>
      </c>
    </row>
    <row r="55" spans="1:9">
      <c r="A55" s="1">
        <v>46276</v>
      </c>
      <c r="B55" t="s">
        <v>15</v>
      </c>
      <c r="C55" t="s">
        <v>16</v>
      </c>
      <c r="D55">
        <v>14</v>
      </c>
      <c r="E55">
        <v>25</v>
      </c>
      <c r="F55">
        <v>12</v>
      </c>
      <c r="G55" t="s">
        <v>9</v>
      </c>
      <c r="H55">
        <f t="shared" si="0"/>
        <v>350</v>
      </c>
      <c r="I55">
        <f t="shared" si="1"/>
        <v>182</v>
      </c>
    </row>
    <row r="56" spans="1:9">
      <c r="A56" s="1">
        <v>46276</v>
      </c>
      <c r="B56" t="s">
        <v>19</v>
      </c>
      <c r="C56" t="s">
        <v>8</v>
      </c>
      <c r="D56">
        <v>6</v>
      </c>
      <c r="E56">
        <v>45</v>
      </c>
      <c r="F56">
        <v>18</v>
      </c>
      <c r="G56" t="s">
        <v>9</v>
      </c>
      <c r="H56">
        <f t="shared" si="0"/>
        <v>270</v>
      </c>
      <c r="I56">
        <f t="shared" si="1"/>
        <v>162</v>
      </c>
    </row>
    <row r="57" spans="1:9">
      <c r="A57" s="1">
        <v>46276</v>
      </c>
      <c r="B57" t="s">
        <v>17</v>
      </c>
      <c r="C57" t="s">
        <v>11</v>
      </c>
      <c r="D57">
        <v>4</v>
      </c>
      <c r="E57">
        <v>90</v>
      </c>
      <c r="F57">
        <v>50</v>
      </c>
      <c r="G57" t="s">
        <v>12</v>
      </c>
      <c r="H57">
        <f t="shared" si="0"/>
        <v>360</v>
      </c>
      <c r="I57">
        <f t="shared" si="1"/>
        <v>160</v>
      </c>
    </row>
    <row r="58" spans="1:9">
      <c r="A58" s="1">
        <v>46277</v>
      </c>
      <c r="B58" t="s">
        <v>7</v>
      </c>
      <c r="C58" t="s">
        <v>8</v>
      </c>
      <c r="D58">
        <v>8</v>
      </c>
      <c r="E58">
        <v>80</v>
      </c>
      <c r="F58">
        <v>45</v>
      </c>
      <c r="G58" t="s">
        <v>9</v>
      </c>
      <c r="H58">
        <f t="shared" si="0"/>
        <v>640</v>
      </c>
      <c r="I58">
        <f t="shared" si="1"/>
        <v>280</v>
      </c>
    </row>
    <row r="59" spans="1:9">
      <c r="A59" s="1">
        <v>46277</v>
      </c>
      <c r="B59" t="s">
        <v>10</v>
      </c>
      <c r="C59" t="s">
        <v>11</v>
      </c>
      <c r="D59">
        <v>5</v>
      </c>
      <c r="E59">
        <v>70</v>
      </c>
      <c r="F59">
        <v>40</v>
      </c>
      <c r="G59" t="s">
        <v>9</v>
      </c>
      <c r="H59">
        <f t="shared" si="0"/>
        <v>350</v>
      </c>
      <c r="I59">
        <f t="shared" si="1"/>
        <v>150</v>
      </c>
    </row>
    <row r="60" spans="1:9">
      <c r="A60" s="1">
        <v>46277</v>
      </c>
      <c r="B60" t="s">
        <v>18</v>
      </c>
      <c r="C60" t="s">
        <v>16</v>
      </c>
      <c r="D60">
        <v>7</v>
      </c>
      <c r="E60">
        <v>70</v>
      </c>
      <c r="F60">
        <v>35</v>
      </c>
      <c r="G60" t="s">
        <v>12</v>
      </c>
      <c r="H60">
        <f t="shared" si="0"/>
        <v>490</v>
      </c>
      <c r="I60">
        <f t="shared" si="1"/>
        <v>245</v>
      </c>
    </row>
    <row r="61" spans="1:9">
      <c r="A61" s="1">
        <v>46277</v>
      </c>
      <c r="B61" t="s">
        <v>20</v>
      </c>
      <c r="C61" t="s">
        <v>16</v>
      </c>
      <c r="D61">
        <v>10</v>
      </c>
      <c r="E61">
        <v>30</v>
      </c>
      <c r="F61">
        <v>15</v>
      </c>
      <c r="G61" t="s">
        <v>9</v>
      </c>
      <c r="H61">
        <f t="shared" si="0"/>
        <v>300</v>
      </c>
      <c r="I61">
        <f t="shared" si="1"/>
        <v>150</v>
      </c>
    </row>
    <row r="62" spans="1:9">
      <c r="A62" s="1">
        <v>46277</v>
      </c>
      <c r="B62" t="s">
        <v>21</v>
      </c>
      <c r="C62" t="s">
        <v>11</v>
      </c>
      <c r="D62">
        <v>4</v>
      </c>
      <c r="E62">
        <v>100</v>
      </c>
      <c r="F62">
        <v>55</v>
      </c>
      <c r="G62" t="s">
        <v>9</v>
      </c>
      <c r="H62">
        <f t="shared" si="0"/>
        <v>400</v>
      </c>
      <c r="I62">
        <f t="shared" si="1"/>
        <v>180</v>
      </c>
    </row>
    <row r="63" spans="1:9">
      <c r="A63" s="1">
        <v>46278</v>
      </c>
      <c r="B63" t="s">
        <v>14</v>
      </c>
      <c r="C63" t="s">
        <v>8</v>
      </c>
      <c r="D63">
        <v>11</v>
      </c>
      <c r="E63">
        <v>50</v>
      </c>
      <c r="F63">
        <v>20</v>
      </c>
      <c r="G63" t="s">
        <v>9</v>
      </c>
      <c r="H63">
        <f t="shared" si="0"/>
        <v>550</v>
      </c>
      <c r="I63">
        <f t="shared" si="1"/>
        <v>330</v>
      </c>
    </row>
    <row r="64" spans="1:9">
      <c r="A64" s="1">
        <v>46278</v>
      </c>
      <c r="B64" t="s">
        <v>13</v>
      </c>
      <c r="C64" t="s">
        <v>11</v>
      </c>
      <c r="D64">
        <v>5</v>
      </c>
      <c r="E64">
        <v>60</v>
      </c>
      <c r="F64">
        <v>32</v>
      </c>
      <c r="G64" t="s">
        <v>12</v>
      </c>
      <c r="H64">
        <f t="shared" si="0"/>
        <v>300</v>
      </c>
      <c r="I64">
        <f t="shared" si="1"/>
        <v>140</v>
      </c>
    </row>
    <row r="65" spans="1:9">
      <c r="A65" s="1">
        <v>46278</v>
      </c>
      <c r="B65" t="s">
        <v>7</v>
      </c>
      <c r="C65" t="s">
        <v>8</v>
      </c>
      <c r="D65">
        <v>6</v>
      </c>
      <c r="E65">
        <v>80</v>
      </c>
      <c r="F65">
        <v>45</v>
      </c>
      <c r="G65" t="s">
        <v>9</v>
      </c>
      <c r="H65">
        <f t="shared" si="0"/>
        <v>480</v>
      </c>
      <c r="I65">
        <f t="shared" si="1"/>
        <v>210</v>
      </c>
    </row>
    <row r="66" spans="1:9">
      <c r="A66" s="1">
        <v>46278</v>
      </c>
      <c r="B66" t="s">
        <v>22</v>
      </c>
      <c r="C66" t="s">
        <v>16</v>
      </c>
      <c r="D66">
        <v>9</v>
      </c>
      <c r="E66">
        <v>25</v>
      </c>
      <c r="F66">
        <v>10</v>
      </c>
      <c r="G66" t="s">
        <v>12</v>
      </c>
      <c r="H66">
        <f t="shared" si="0"/>
        <v>225</v>
      </c>
      <c r="I66">
        <f t="shared" si="1"/>
        <v>135</v>
      </c>
    </row>
    <row r="67" spans="1:9">
      <c r="A67" s="1">
        <v>46278</v>
      </c>
      <c r="B67" t="s">
        <v>17</v>
      </c>
      <c r="C67" t="s">
        <v>11</v>
      </c>
      <c r="D67">
        <v>3</v>
      </c>
      <c r="E67">
        <v>90</v>
      </c>
      <c r="F67">
        <v>50</v>
      </c>
      <c r="G67" t="s">
        <v>9</v>
      </c>
      <c r="H67">
        <f t="shared" ref="H67:H102" si="2">D67*E67</f>
        <v>270</v>
      </c>
      <c r="I67">
        <f t="shared" ref="I67:I102" si="3">(E67-F67)*D67</f>
        <v>120</v>
      </c>
    </row>
    <row r="68" spans="1:9">
      <c r="A68" s="1">
        <v>46279</v>
      </c>
      <c r="B68" t="s">
        <v>15</v>
      </c>
      <c r="C68" t="s">
        <v>16</v>
      </c>
      <c r="D68">
        <v>16</v>
      </c>
      <c r="E68">
        <v>25</v>
      </c>
      <c r="F68">
        <v>12</v>
      </c>
      <c r="G68" t="s">
        <v>9</v>
      </c>
      <c r="H68">
        <f t="shared" si="2"/>
        <v>400</v>
      </c>
      <c r="I68">
        <f t="shared" si="3"/>
        <v>208</v>
      </c>
    </row>
    <row r="69" spans="1:9">
      <c r="A69" s="1">
        <v>46279</v>
      </c>
      <c r="B69" t="s">
        <v>19</v>
      </c>
      <c r="C69" t="s">
        <v>8</v>
      </c>
      <c r="D69">
        <v>8</v>
      </c>
      <c r="E69">
        <v>45</v>
      </c>
      <c r="F69">
        <v>18</v>
      </c>
      <c r="G69" t="s">
        <v>12</v>
      </c>
      <c r="H69">
        <f t="shared" si="2"/>
        <v>360</v>
      </c>
      <c r="I69">
        <f t="shared" si="3"/>
        <v>216</v>
      </c>
    </row>
    <row r="70" spans="1:9">
      <c r="A70" s="1">
        <v>46279</v>
      </c>
      <c r="B70" t="s">
        <v>10</v>
      </c>
      <c r="C70" t="s">
        <v>11</v>
      </c>
      <c r="D70">
        <v>6</v>
      </c>
      <c r="E70">
        <v>70</v>
      </c>
      <c r="F70">
        <v>40</v>
      </c>
      <c r="G70" t="s">
        <v>9</v>
      </c>
      <c r="H70">
        <f t="shared" si="2"/>
        <v>420</v>
      </c>
      <c r="I70">
        <f t="shared" si="3"/>
        <v>180</v>
      </c>
    </row>
    <row r="71" spans="1:9">
      <c r="A71" s="1">
        <v>46279</v>
      </c>
      <c r="B71" t="s">
        <v>18</v>
      </c>
      <c r="C71" t="s">
        <v>16</v>
      </c>
      <c r="D71">
        <v>5</v>
      </c>
      <c r="E71">
        <v>70</v>
      </c>
      <c r="F71">
        <v>35</v>
      </c>
      <c r="G71" t="s">
        <v>9</v>
      </c>
      <c r="H71">
        <f t="shared" si="2"/>
        <v>350</v>
      </c>
      <c r="I71">
        <f t="shared" si="3"/>
        <v>175</v>
      </c>
    </row>
    <row r="72" spans="1:9">
      <c r="A72" s="1">
        <v>46279</v>
      </c>
      <c r="B72" t="s">
        <v>7</v>
      </c>
      <c r="C72" t="s">
        <v>8</v>
      </c>
      <c r="D72">
        <v>7</v>
      </c>
      <c r="E72">
        <v>80</v>
      </c>
      <c r="F72">
        <v>45</v>
      </c>
      <c r="G72" t="s">
        <v>12</v>
      </c>
      <c r="H72">
        <f t="shared" si="2"/>
        <v>560</v>
      </c>
      <c r="I72">
        <f t="shared" si="3"/>
        <v>245</v>
      </c>
    </row>
    <row r="73" spans="1:9">
      <c r="A73" s="1">
        <v>46280</v>
      </c>
      <c r="B73" t="s">
        <v>20</v>
      </c>
      <c r="C73" t="s">
        <v>16</v>
      </c>
      <c r="D73">
        <v>12</v>
      </c>
      <c r="E73">
        <v>30</v>
      </c>
      <c r="F73">
        <v>15</v>
      </c>
      <c r="G73" t="s">
        <v>9</v>
      </c>
      <c r="H73">
        <f t="shared" si="2"/>
        <v>360</v>
      </c>
      <c r="I73">
        <f t="shared" si="3"/>
        <v>180</v>
      </c>
    </row>
    <row r="74" spans="1:9">
      <c r="A74" s="1">
        <v>46280</v>
      </c>
      <c r="B74" t="s">
        <v>21</v>
      </c>
      <c r="C74" t="s">
        <v>11</v>
      </c>
      <c r="D74">
        <v>4</v>
      </c>
      <c r="E74">
        <v>100</v>
      </c>
      <c r="F74">
        <v>55</v>
      </c>
      <c r="G74" t="s">
        <v>9</v>
      </c>
      <c r="H74">
        <f t="shared" si="2"/>
        <v>400</v>
      </c>
      <c r="I74">
        <f t="shared" si="3"/>
        <v>180</v>
      </c>
    </row>
    <row r="75" spans="1:9">
      <c r="A75" s="1">
        <v>46280</v>
      </c>
      <c r="B75" t="s">
        <v>14</v>
      </c>
      <c r="C75" t="s">
        <v>8</v>
      </c>
      <c r="D75">
        <v>9</v>
      </c>
      <c r="E75">
        <v>50</v>
      </c>
      <c r="F75">
        <v>20</v>
      </c>
      <c r="G75" t="s">
        <v>12</v>
      </c>
      <c r="H75">
        <f t="shared" si="2"/>
        <v>450</v>
      </c>
      <c r="I75">
        <f t="shared" si="3"/>
        <v>270</v>
      </c>
    </row>
    <row r="76" spans="1:9">
      <c r="A76" s="1">
        <v>46280</v>
      </c>
      <c r="B76" t="s">
        <v>13</v>
      </c>
      <c r="C76" t="s">
        <v>11</v>
      </c>
      <c r="D76">
        <v>6</v>
      </c>
      <c r="E76">
        <v>60</v>
      </c>
      <c r="F76">
        <v>32</v>
      </c>
      <c r="G76" t="s">
        <v>9</v>
      </c>
      <c r="H76">
        <f t="shared" si="2"/>
        <v>360</v>
      </c>
      <c r="I76">
        <f t="shared" si="3"/>
        <v>168</v>
      </c>
    </row>
    <row r="77" spans="1:9">
      <c r="A77" s="1">
        <v>46280</v>
      </c>
      <c r="B77" t="s">
        <v>22</v>
      </c>
      <c r="C77" t="s">
        <v>16</v>
      </c>
      <c r="D77">
        <v>10</v>
      </c>
      <c r="E77">
        <v>25</v>
      </c>
      <c r="F77">
        <v>10</v>
      </c>
      <c r="G77" t="s">
        <v>9</v>
      </c>
      <c r="H77">
        <f t="shared" si="2"/>
        <v>250</v>
      </c>
      <c r="I77">
        <f t="shared" si="3"/>
        <v>150</v>
      </c>
    </row>
    <row r="78" spans="1:9">
      <c r="A78" s="1">
        <v>46281</v>
      </c>
      <c r="B78" t="s">
        <v>7</v>
      </c>
      <c r="C78" t="s">
        <v>8</v>
      </c>
      <c r="D78">
        <v>9</v>
      </c>
      <c r="E78">
        <v>80</v>
      </c>
      <c r="F78">
        <v>45</v>
      </c>
      <c r="G78" t="s">
        <v>9</v>
      </c>
      <c r="H78">
        <f t="shared" si="2"/>
        <v>720</v>
      </c>
      <c r="I78">
        <f t="shared" si="3"/>
        <v>315</v>
      </c>
    </row>
    <row r="79" spans="1:9">
      <c r="A79" s="1">
        <v>46281</v>
      </c>
      <c r="B79" t="s">
        <v>17</v>
      </c>
      <c r="C79" t="s">
        <v>11</v>
      </c>
      <c r="D79">
        <v>5</v>
      </c>
      <c r="E79">
        <v>90</v>
      </c>
      <c r="F79">
        <v>50</v>
      </c>
      <c r="G79" t="s">
        <v>12</v>
      </c>
      <c r="H79">
        <f t="shared" si="2"/>
        <v>450</v>
      </c>
      <c r="I79">
        <f t="shared" si="3"/>
        <v>200</v>
      </c>
    </row>
    <row r="80" spans="1:9">
      <c r="A80" s="1">
        <v>46281</v>
      </c>
      <c r="B80" t="s">
        <v>15</v>
      </c>
      <c r="C80" t="s">
        <v>16</v>
      </c>
      <c r="D80">
        <v>15</v>
      </c>
      <c r="E80">
        <v>25</v>
      </c>
      <c r="F80">
        <v>12</v>
      </c>
      <c r="G80" t="s">
        <v>9</v>
      </c>
      <c r="H80">
        <f t="shared" si="2"/>
        <v>375</v>
      </c>
      <c r="I80">
        <f t="shared" si="3"/>
        <v>195</v>
      </c>
    </row>
    <row r="81" spans="1:9">
      <c r="A81" s="1">
        <v>46281</v>
      </c>
      <c r="B81" t="s">
        <v>19</v>
      </c>
      <c r="C81" t="s">
        <v>8</v>
      </c>
      <c r="D81">
        <v>7</v>
      </c>
      <c r="E81">
        <v>45</v>
      </c>
      <c r="F81">
        <v>18</v>
      </c>
      <c r="G81" t="s">
        <v>9</v>
      </c>
      <c r="H81">
        <f t="shared" si="2"/>
        <v>315</v>
      </c>
      <c r="I81">
        <f t="shared" si="3"/>
        <v>189</v>
      </c>
    </row>
    <row r="82" spans="1:9">
      <c r="A82" s="1">
        <v>46281</v>
      </c>
      <c r="B82" t="s">
        <v>10</v>
      </c>
      <c r="C82" t="s">
        <v>11</v>
      </c>
      <c r="D82">
        <v>4</v>
      </c>
      <c r="E82">
        <v>70</v>
      </c>
      <c r="F82">
        <v>40</v>
      </c>
      <c r="G82" t="s">
        <v>12</v>
      </c>
      <c r="H82">
        <f t="shared" si="2"/>
        <v>280</v>
      </c>
      <c r="I82">
        <f t="shared" si="3"/>
        <v>120</v>
      </c>
    </row>
    <row r="83" spans="1:9">
      <c r="A83" s="1">
        <v>46282</v>
      </c>
      <c r="B83" t="s">
        <v>18</v>
      </c>
      <c r="C83" t="s">
        <v>16</v>
      </c>
      <c r="D83">
        <v>8</v>
      </c>
      <c r="E83">
        <v>70</v>
      </c>
      <c r="F83">
        <v>35</v>
      </c>
      <c r="G83" t="s">
        <v>9</v>
      </c>
      <c r="H83">
        <f t="shared" si="2"/>
        <v>560</v>
      </c>
      <c r="I83">
        <f t="shared" si="3"/>
        <v>280</v>
      </c>
    </row>
    <row r="84" spans="1:9">
      <c r="A84" s="1">
        <v>46282</v>
      </c>
      <c r="B84" t="s">
        <v>14</v>
      </c>
      <c r="C84" t="s">
        <v>8</v>
      </c>
      <c r="D84">
        <v>12</v>
      </c>
      <c r="E84">
        <v>50</v>
      </c>
      <c r="F84">
        <v>20</v>
      </c>
      <c r="G84" t="s">
        <v>9</v>
      </c>
      <c r="H84">
        <f t="shared" si="2"/>
        <v>600</v>
      </c>
      <c r="I84">
        <f t="shared" si="3"/>
        <v>360</v>
      </c>
    </row>
    <row r="85" spans="1:9">
      <c r="A85" s="1">
        <v>46282</v>
      </c>
      <c r="B85" t="s">
        <v>21</v>
      </c>
      <c r="C85" t="s">
        <v>11</v>
      </c>
      <c r="D85">
        <v>5</v>
      </c>
      <c r="E85">
        <v>100</v>
      </c>
      <c r="F85">
        <v>55</v>
      </c>
      <c r="G85" t="s">
        <v>12</v>
      </c>
      <c r="H85">
        <f t="shared" si="2"/>
        <v>500</v>
      </c>
      <c r="I85">
        <f t="shared" si="3"/>
        <v>225</v>
      </c>
    </row>
    <row r="86" spans="1:9">
      <c r="A86" s="1">
        <v>46282</v>
      </c>
      <c r="B86" t="s">
        <v>20</v>
      </c>
      <c r="C86" t="s">
        <v>16</v>
      </c>
      <c r="D86">
        <v>11</v>
      </c>
      <c r="E86">
        <v>30</v>
      </c>
      <c r="F86">
        <v>15</v>
      </c>
      <c r="G86" t="s">
        <v>9</v>
      </c>
      <c r="H86">
        <f t="shared" si="2"/>
        <v>330</v>
      </c>
      <c r="I86">
        <f t="shared" si="3"/>
        <v>165</v>
      </c>
    </row>
    <row r="87" spans="1:9">
      <c r="A87" s="1">
        <v>46282</v>
      </c>
      <c r="B87" t="s">
        <v>13</v>
      </c>
      <c r="C87" t="s">
        <v>11</v>
      </c>
      <c r="D87">
        <v>7</v>
      </c>
      <c r="E87">
        <v>60</v>
      </c>
      <c r="F87">
        <v>32</v>
      </c>
      <c r="G87" t="s">
        <v>9</v>
      </c>
      <c r="H87">
        <f t="shared" si="2"/>
        <v>420</v>
      </c>
      <c r="I87">
        <f t="shared" si="3"/>
        <v>196</v>
      </c>
    </row>
    <row r="88" spans="1:9">
      <c r="A88" s="1">
        <v>46283</v>
      </c>
      <c r="B88" t="s">
        <v>7</v>
      </c>
      <c r="C88" t="s">
        <v>8</v>
      </c>
      <c r="D88">
        <v>10</v>
      </c>
      <c r="E88">
        <v>80</v>
      </c>
      <c r="F88">
        <v>45</v>
      </c>
      <c r="G88" t="s">
        <v>12</v>
      </c>
      <c r="H88">
        <f t="shared" si="2"/>
        <v>800</v>
      </c>
      <c r="I88">
        <f t="shared" si="3"/>
        <v>350</v>
      </c>
    </row>
    <row r="89" spans="1:9">
      <c r="A89" s="1">
        <v>46283</v>
      </c>
      <c r="B89" t="s">
        <v>10</v>
      </c>
      <c r="C89" t="s">
        <v>11</v>
      </c>
      <c r="D89">
        <v>6</v>
      </c>
      <c r="E89">
        <v>70</v>
      </c>
      <c r="F89">
        <v>40</v>
      </c>
      <c r="G89" t="s">
        <v>9</v>
      </c>
      <c r="H89">
        <f t="shared" si="2"/>
        <v>420</v>
      </c>
      <c r="I89">
        <f t="shared" si="3"/>
        <v>180</v>
      </c>
    </row>
    <row r="90" spans="1:9">
      <c r="A90" s="1">
        <v>46283</v>
      </c>
      <c r="B90" t="s">
        <v>15</v>
      </c>
      <c r="C90" t="s">
        <v>16</v>
      </c>
      <c r="D90">
        <v>18</v>
      </c>
      <c r="E90">
        <v>25</v>
      </c>
      <c r="F90">
        <v>12</v>
      </c>
      <c r="G90" t="s">
        <v>9</v>
      </c>
      <c r="H90">
        <f t="shared" si="2"/>
        <v>450</v>
      </c>
      <c r="I90">
        <f t="shared" si="3"/>
        <v>234</v>
      </c>
    </row>
    <row r="91" spans="1:9">
      <c r="A91" s="1">
        <v>46283</v>
      </c>
      <c r="B91" t="s">
        <v>19</v>
      </c>
      <c r="C91" t="s">
        <v>8</v>
      </c>
      <c r="D91">
        <v>9</v>
      </c>
      <c r="E91">
        <v>45</v>
      </c>
      <c r="F91">
        <v>18</v>
      </c>
      <c r="G91" t="s">
        <v>12</v>
      </c>
      <c r="H91">
        <f t="shared" si="2"/>
        <v>405</v>
      </c>
      <c r="I91">
        <f t="shared" si="3"/>
        <v>243</v>
      </c>
    </row>
    <row r="92" spans="1:9">
      <c r="A92" s="1">
        <v>46283</v>
      </c>
      <c r="B92" t="s">
        <v>17</v>
      </c>
      <c r="C92" t="s">
        <v>11</v>
      </c>
      <c r="D92">
        <v>5</v>
      </c>
      <c r="E92">
        <v>90</v>
      </c>
      <c r="F92">
        <v>50</v>
      </c>
      <c r="G92" t="s">
        <v>9</v>
      </c>
      <c r="H92">
        <f t="shared" si="2"/>
        <v>450</v>
      </c>
      <c r="I92">
        <f t="shared" si="3"/>
        <v>200</v>
      </c>
    </row>
    <row r="93" spans="1:9">
      <c r="A93" s="1">
        <v>46284</v>
      </c>
      <c r="B93" t="s">
        <v>14</v>
      </c>
      <c r="C93" t="s">
        <v>8</v>
      </c>
      <c r="D93">
        <v>13</v>
      </c>
      <c r="E93">
        <v>50</v>
      </c>
      <c r="F93">
        <v>20</v>
      </c>
      <c r="G93" t="s">
        <v>9</v>
      </c>
      <c r="H93">
        <f t="shared" si="2"/>
        <v>650</v>
      </c>
      <c r="I93">
        <f t="shared" si="3"/>
        <v>390</v>
      </c>
    </row>
    <row r="94" spans="1:9">
      <c r="A94" s="1">
        <v>46284</v>
      </c>
      <c r="B94" t="s">
        <v>18</v>
      </c>
      <c r="C94" t="s">
        <v>16</v>
      </c>
      <c r="D94">
        <v>9</v>
      </c>
      <c r="E94">
        <v>70</v>
      </c>
      <c r="F94">
        <v>35</v>
      </c>
      <c r="G94" t="s">
        <v>12</v>
      </c>
      <c r="H94">
        <f t="shared" si="2"/>
        <v>630</v>
      </c>
      <c r="I94">
        <f t="shared" si="3"/>
        <v>315</v>
      </c>
    </row>
    <row r="95" spans="1:9">
      <c r="A95" s="1">
        <v>46284</v>
      </c>
      <c r="B95" t="s">
        <v>21</v>
      </c>
      <c r="C95" t="s">
        <v>11</v>
      </c>
      <c r="D95">
        <v>4</v>
      </c>
      <c r="E95">
        <v>100</v>
      </c>
      <c r="F95">
        <v>55</v>
      </c>
      <c r="G95" t="s">
        <v>9</v>
      </c>
      <c r="H95">
        <f t="shared" si="2"/>
        <v>400</v>
      </c>
      <c r="I95">
        <f t="shared" si="3"/>
        <v>180</v>
      </c>
    </row>
    <row r="96" spans="1:9">
      <c r="A96" s="1">
        <v>46284</v>
      </c>
      <c r="B96" t="s">
        <v>20</v>
      </c>
      <c r="C96" t="s">
        <v>16</v>
      </c>
      <c r="D96">
        <v>13</v>
      </c>
      <c r="E96">
        <v>30</v>
      </c>
      <c r="F96">
        <v>15</v>
      </c>
      <c r="G96" t="s">
        <v>9</v>
      </c>
      <c r="H96">
        <f t="shared" si="2"/>
        <v>390</v>
      </c>
      <c r="I96">
        <f t="shared" si="3"/>
        <v>195</v>
      </c>
    </row>
    <row r="97" spans="1:9">
      <c r="A97" s="1">
        <v>46284</v>
      </c>
      <c r="B97" t="s">
        <v>22</v>
      </c>
      <c r="C97" t="s">
        <v>16</v>
      </c>
      <c r="D97">
        <v>12</v>
      </c>
      <c r="E97">
        <v>25</v>
      </c>
      <c r="F97">
        <v>10</v>
      </c>
      <c r="G97" t="s">
        <v>12</v>
      </c>
      <c r="H97">
        <f t="shared" si="2"/>
        <v>300</v>
      </c>
      <c r="I97">
        <f t="shared" si="3"/>
        <v>180</v>
      </c>
    </row>
    <row r="98" spans="1:9">
      <c r="A98" s="1">
        <v>46285</v>
      </c>
      <c r="B98" t="s">
        <v>7</v>
      </c>
      <c r="C98" t="s">
        <v>8</v>
      </c>
      <c r="D98">
        <v>11</v>
      </c>
      <c r="E98">
        <v>80</v>
      </c>
      <c r="F98">
        <v>45</v>
      </c>
      <c r="G98" t="s">
        <v>9</v>
      </c>
      <c r="H98">
        <f t="shared" si="2"/>
        <v>880</v>
      </c>
      <c r="I98">
        <f t="shared" si="3"/>
        <v>385</v>
      </c>
    </row>
    <row r="99" spans="1:9">
      <c r="A99" s="1">
        <v>46285</v>
      </c>
      <c r="B99" t="s">
        <v>13</v>
      </c>
      <c r="C99" t="s">
        <v>11</v>
      </c>
      <c r="D99">
        <v>8</v>
      </c>
      <c r="E99">
        <v>60</v>
      </c>
      <c r="F99">
        <v>32</v>
      </c>
      <c r="G99" t="s">
        <v>9</v>
      </c>
      <c r="H99">
        <f t="shared" si="2"/>
        <v>480</v>
      </c>
      <c r="I99">
        <f t="shared" si="3"/>
        <v>224</v>
      </c>
    </row>
    <row r="100" spans="1:9">
      <c r="A100" s="1">
        <v>46285</v>
      </c>
      <c r="B100" t="s">
        <v>10</v>
      </c>
      <c r="C100" t="s">
        <v>11</v>
      </c>
      <c r="D100">
        <v>7</v>
      </c>
      <c r="E100">
        <v>70</v>
      </c>
      <c r="F100">
        <v>40</v>
      </c>
      <c r="G100" t="s">
        <v>12</v>
      </c>
      <c r="H100">
        <f t="shared" si="2"/>
        <v>490</v>
      </c>
      <c r="I100">
        <f t="shared" si="3"/>
        <v>210</v>
      </c>
    </row>
    <row r="101" spans="1:9">
      <c r="A101" s="1">
        <v>46285</v>
      </c>
      <c r="B101" t="s">
        <v>15</v>
      </c>
      <c r="C101" t="s">
        <v>16</v>
      </c>
      <c r="D101">
        <v>20</v>
      </c>
      <c r="E101">
        <v>25</v>
      </c>
      <c r="F101">
        <v>12</v>
      </c>
      <c r="G101" t="s">
        <v>9</v>
      </c>
      <c r="H101">
        <f t="shared" si="2"/>
        <v>500</v>
      </c>
      <c r="I101">
        <f t="shared" si="3"/>
        <v>260</v>
      </c>
    </row>
    <row r="102" spans="1:9">
      <c r="A102" s="1">
        <v>46285</v>
      </c>
      <c r="B102" t="s">
        <v>14</v>
      </c>
      <c r="C102" t="s">
        <v>8</v>
      </c>
      <c r="D102">
        <v>10</v>
      </c>
      <c r="E102">
        <v>50</v>
      </c>
      <c r="F102">
        <v>20</v>
      </c>
      <c r="G102" t="s">
        <v>9</v>
      </c>
      <c r="H102">
        <f t="shared" si="2"/>
        <v>500</v>
      </c>
      <c r="I102">
        <f t="shared" si="3"/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327D-429C-43E0-A8A2-36FC26D95E8A}">
  <sheetPr codeName="Sheet5"/>
  <dimension ref="A1:B11"/>
  <sheetViews>
    <sheetView workbookViewId="0">
      <selection activeCell="B11" sqref="B11"/>
    </sheetView>
  </sheetViews>
  <sheetFormatPr defaultRowHeight="14.4"/>
  <cols>
    <col min="1" max="2" width="41.44140625" customWidth="1"/>
  </cols>
  <sheetData>
    <row r="1" spans="1:2">
      <c r="A1" s="4" t="s">
        <v>25</v>
      </c>
      <c r="B1" s="3" t="s">
        <v>26</v>
      </c>
    </row>
    <row r="2" spans="1:2">
      <c r="A2" s="2" t="s">
        <v>27</v>
      </c>
      <c r="B2" s="3">
        <f>SUM(DATA!H2:H101)</f>
        <v>35320</v>
      </c>
    </row>
    <row r="3" spans="1:2">
      <c r="A3" s="2" t="s">
        <v>28</v>
      </c>
      <c r="B3" s="3">
        <f>SUM(DATA!I2:I101)</f>
        <v>17487</v>
      </c>
    </row>
    <row r="4" spans="1:2">
      <c r="A4" s="2" t="s">
        <v>29</v>
      </c>
      <c r="B4" s="3" t="s">
        <v>15</v>
      </c>
    </row>
    <row r="5" spans="1:2">
      <c r="A5" s="2" t="s">
        <v>30</v>
      </c>
      <c r="B5" s="3" t="s">
        <v>7</v>
      </c>
    </row>
    <row r="6" spans="1:2">
      <c r="A6" s="2" t="s">
        <v>31</v>
      </c>
      <c r="B6" s="3" t="s">
        <v>7</v>
      </c>
    </row>
    <row r="7" spans="1:2">
      <c r="A7" s="2" t="s">
        <v>32</v>
      </c>
      <c r="B7" s="3" t="s">
        <v>41</v>
      </c>
    </row>
    <row r="8" spans="1:2">
      <c r="A8" s="2" t="s">
        <v>33</v>
      </c>
      <c r="B8" s="3" t="s">
        <v>9</v>
      </c>
    </row>
    <row r="9" spans="1:2">
      <c r="A9" s="2" t="s">
        <v>34</v>
      </c>
      <c r="B9" s="9">
        <v>46283</v>
      </c>
    </row>
    <row r="11" spans="1:2">
      <c r="B11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Sheet3</vt:lpstr>
      <vt:lpstr>DASHBOARD</vt:lpstr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Kshatriya</dc:creator>
  <cp:lastModifiedBy>Khushi Kshatriya</cp:lastModifiedBy>
  <cp:lastPrinted>2026-10-01T08:12:50Z</cp:lastPrinted>
  <dcterms:created xsi:type="dcterms:W3CDTF">2026-09-30T14:51:32Z</dcterms:created>
  <dcterms:modified xsi:type="dcterms:W3CDTF">2026-10-01T08:40:25Z</dcterms:modified>
</cp:coreProperties>
</file>